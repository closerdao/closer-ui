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Debt Stack" sheetId="2" r:id="rId5"/>
    <sheet state="visible" name="Revenue" sheetId="3" r:id="rId6"/>
    <sheet state="visible" name="Costs" sheetId="4" r:id="rId7"/>
    <sheet state="visible" name="PL" sheetId="5" r:id="rId8"/>
    <sheet state="visible" name="Cash Flow" sheetId="6" r:id="rId9"/>
    <sheet state="visible" name="Balance sheet" sheetId="7" r:id="rId10"/>
    <sheet state="visible" name="Sensitivity" sheetId="8" r:id="rId11"/>
    <sheet state="visible" name="Co-Housing" sheetId="9" r:id="rId12"/>
    <sheet state="visible" name="Cash Flow (+cohousing)" sheetId="10" r:id="rId13"/>
    <sheet state="visible" name="Balance sheet (+cohousing)" sheetId="11" r:id="rId14"/>
  </sheets>
  <definedNames/>
  <calcPr/>
  <extLst>
    <ext uri="GoogleSheetsCustomDataVersion2">
      <go:sheetsCustomData xmlns:go="http://customooxmlschemas.google.com/" r:id="rId15" roundtripDataChecksum="tL/b7C4N+d6ohCVgChqyCzLY2n9ECVYUikZiK8M4Qk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======
ID#AAABydPsyMQ
Samuel Delesque    (2026-01-10 13:43:05)
Get Depereciation map from CAAC</t>
      </text>
    </comment>
  </commentList>
  <extLst>
    <ext uri="GoogleSheetsCustomDataVersion2">
      <go:sheetsCustomData xmlns:go="http://customooxmlschemas.google.com/" r:id="rId1" roundtripDataSignature="AMtx7mgevlaXpSZOsymTIlddkTiY3/4Gdg=="/>
    </ext>
  </extLst>
</comments>
</file>

<file path=xl/sharedStrings.xml><?xml version="1.0" encoding="utf-8"?>
<sst xmlns="http://schemas.openxmlformats.org/spreadsheetml/2006/main" count="472" uniqueCount="354">
  <si>
    <t>TDF VILLAGE MODEL - MASTER ASSUMPTIONS</t>
  </si>
  <si>
    <t>SEASON ALLOCATION</t>
  </si>
  <si>
    <t>Commercial Months (Adjustable)</t>
  </si>
  <si>
    <t>months</t>
  </si>
  <si>
    <t>Commercial Days</t>
  </si>
  <si>
    <t>days</t>
  </si>
  <si>
    <t>Community Months</t>
  </si>
  <si>
    <t>Community Days</t>
  </si>
  <si>
    <t>HOSPITALITY ROOMS</t>
  </si>
  <si>
    <t>Private Suites</t>
  </si>
  <si>
    <t>units</t>
  </si>
  <si>
    <t>Studios</t>
  </si>
  <si>
    <t>Total Licensed</t>
  </si>
  <si>
    <t>ADR High Season</t>
  </si>
  <si>
    <t>EUR</t>
  </si>
  <si>
    <t>ADR Low Season</t>
  </si>
  <si>
    <t>Actual ADR</t>
  </si>
  <si>
    <t>Commercial period primarily in high season</t>
  </si>
  <si>
    <t>Dorm beds</t>
  </si>
  <si>
    <t>Not counted (volunteers)</t>
  </si>
  <si>
    <t>House</t>
  </si>
  <si>
    <t>unit</t>
  </si>
  <si>
    <t>Not counted (team)</t>
  </si>
  <si>
    <t>OTA Commission</t>
  </si>
  <si>
    <t>%</t>
  </si>
  <si>
    <t>Net ADR (after OTA)</t>
  </si>
  <si>
    <t>Commercial Occupancy Y1</t>
  </si>
  <si>
    <t>Token Holder Stay Rate</t>
  </si>
  <si>
    <t>Token utilization rate</t>
  </si>
  <si>
    <t>UNIQUE ACCOMMODATIONS</t>
  </si>
  <si>
    <t>Glamping Big</t>
  </si>
  <si>
    <t>Glamping Small</t>
  </si>
  <si>
    <t>Treehouse</t>
  </si>
  <si>
    <t>Silo Cabins</t>
  </si>
  <si>
    <t>Camping Spots</t>
  </si>
  <si>
    <t>Total Unofficial</t>
  </si>
  <si>
    <t>Glamping Big Price</t>
  </si>
  <si>
    <t>EUR/night</t>
  </si>
  <si>
    <t>Glamping Small Price</t>
  </si>
  <si>
    <t>Treehouse Price</t>
  </si>
  <si>
    <t>Silo Cabin Price</t>
  </si>
  <si>
    <t>Camping Price</t>
  </si>
  <si>
    <t>Guest Occupancy</t>
  </si>
  <si>
    <t>Seasonal Days (Glamping/Camp)</t>
  </si>
  <si>
    <t>Year-round Days (Tree/Silo)</t>
  </si>
  <si>
    <t>RESTAURANT</t>
  </si>
  <si>
    <t>Seats</t>
  </si>
  <si>
    <t>Meals served</t>
  </si>
  <si>
    <t>Lunch Covers/Day (Commercial)</t>
  </si>
  <si>
    <t>Dinner Covers/Day (Commercial)</t>
  </si>
  <si>
    <t>Food Cost % (Commercial)</t>
  </si>
  <si>
    <t>Cafe Avg Ticket (Commercial)</t>
  </si>
  <si>
    <t>Food Cost % (Community)</t>
  </si>
  <si>
    <t>Cafe Guests/Day</t>
  </si>
  <si>
    <t>Cafe Avg Ticket (Community)</t>
  </si>
  <si>
    <t>Daily food contribution (Community)</t>
  </si>
  <si>
    <t>EUR / day</t>
  </si>
  <si>
    <t>Utility Fee</t>
  </si>
  <si>
    <t>eur/ day</t>
  </si>
  <si>
    <t>GROWTH PARAMETERS</t>
  </si>
  <si>
    <t>Inflation</t>
  </si>
  <si>
    <t>Revenue Growth</t>
  </si>
  <si>
    <t>Cost Growth</t>
  </si>
  <si>
    <t>CONSTRUCTION</t>
  </si>
  <si>
    <t>Construction price (m2)</t>
  </si>
  <si>
    <t>Commons participation</t>
  </si>
  <si>
    <t>STAFFING</t>
  </si>
  <si>
    <t>FTE</t>
  </si>
  <si>
    <t>Months</t>
  </si>
  <si>
    <t>Salary</t>
  </si>
  <si>
    <t>Reception + Barista</t>
  </si>
  <si>
    <t>Kitchen lead</t>
  </si>
  <si>
    <t>Chef</t>
  </si>
  <si>
    <t>Kitchen help</t>
  </si>
  <si>
    <t>Service</t>
  </si>
  <si>
    <t>Dishwasher</t>
  </si>
  <si>
    <t>Cleaning</t>
  </si>
  <si>
    <t>Maintenance</t>
  </si>
  <si>
    <t>Land steward</t>
  </si>
  <si>
    <t>Director</t>
  </si>
  <si>
    <t>CFO</t>
  </si>
  <si>
    <t>TSU Rate</t>
  </si>
  <si>
    <t>TOKEN ECONOMICS</t>
  </si>
  <si>
    <t>Total Legal Accommodation Tokens</t>
  </si>
  <si>
    <t>Current Supply</t>
  </si>
  <si>
    <t>Current Community Token Pool</t>
  </si>
  <si>
    <t>Sweat Reserve</t>
  </si>
  <si>
    <t>Hospitality Reserve</t>
  </si>
  <si>
    <t>Reserving min 25% of occupancy for commercial</t>
  </si>
  <si>
    <t>Tokens left to sell</t>
  </si>
  <si>
    <t>Tokens left to sell (+cohousing)</t>
  </si>
  <si>
    <t>Community Ownership %</t>
  </si>
  <si>
    <t>Total token sale left</t>
  </si>
  <si>
    <t>Coliving tokens</t>
  </si>
  <si>
    <t>Total token sale left (+cohousing)</t>
  </si>
  <si>
    <t>Total tokens planned to sell</t>
  </si>
  <si>
    <t>DEBT STACK</t>
  </si>
  <si>
    <t>Category</t>
  </si>
  <si>
    <t>Principal</t>
  </si>
  <si>
    <t>Rate</t>
  </si>
  <si>
    <t>Term</t>
  </si>
  <si>
    <t>Priority</t>
  </si>
  <si>
    <t>Interest Type</t>
  </si>
  <si>
    <t>Conversion</t>
  </si>
  <si>
    <t>Bank Mortgage</t>
  </si>
  <si>
    <t>Senior</t>
  </si>
  <si>
    <t>Cash-paid</t>
  </si>
  <si>
    <t>None</t>
  </si>
  <si>
    <t>2024 Debt</t>
  </si>
  <si>
    <t>Subordinated</t>
  </si>
  <si>
    <t>Accrued</t>
  </si>
  <si>
    <t>2026 Debt</t>
  </si>
  <si>
    <t>Co-Housing Deposits</t>
  </si>
  <si>
    <t>TOTAL DEBT</t>
  </si>
  <si>
    <t>2024/2025 contracts</t>
  </si>
  <si>
    <t>Maturity</t>
  </si>
  <si>
    <t>Private</t>
  </si>
  <si>
    <t>Shareholder debt</t>
  </si>
  <si>
    <t>YEARLY DEBT &amp; CONVERSION SCHEDULE</t>
  </si>
  <si>
    <t>BANK MORTGAGE</t>
  </si>
  <si>
    <t>Opening Balance</t>
  </si>
  <si>
    <t>Principal Payment</t>
  </si>
  <si>
    <t>Interest</t>
  </si>
  <si>
    <t>Closing Balance</t>
  </si>
  <si>
    <t>Accrued Interest</t>
  </si>
  <si>
    <t>Converted to Tokens</t>
  </si>
  <si>
    <t>Cash Repaid</t>
  </si>
  <si>
    <t>CO-HOUSING DEPOSITS</t>
  </si>
  <si>
    <t>TOTALS</t>
  </si>
  <si>
    <t>Total Debt Outstanding</t>
  </si>
  <si>
    <t>Total private loans</t>
  </si>
  <si>
    <t>Private loan interest</t>
  </si>
  <si>
    <t>Private loan principal</t>
  </si>
  <si>
    <t>Bank loan interest</t>
  </si>
  <si>
    <t>Total Converted (Year)</t>
  </si>
  <si>
    <t>Cumulative Converted</t>
  </si>
  <si>
    <t>DEBT SERVICE COVERAGE (Bank Only)</t>
  </si>
  <si>
    <t>EBITDA</t>
  </si>
  <si>
    <t>Bank debt service</t>
  </si>
  <si>
    <t>DSCR</t>
  </si>
  <si>
    <t>Activity start mid 2027.</t>
  </si>
  <si>
    <t>KEY NOTES</t>
  </si>
  <si>
    <t>• Bank = Senior (1st priority). All others subordinated.</t>
  </si>
  <si>
    <t>• Private loan interest accrues (no cash payment until maturity/conversion)</t>
  </si>
  <si>
    <t>• Conversion extinguishes debt + accrued interest. Lender receives tokens.</t>
  </si>
  <si>
    <t>• Co-housing deposits converts to tokens + house reservation agreement.</t>
  </si>
  <si>
    <t>REVENUE MODEL</t>
  </si>
  <si>
    <t>COMMERCIAL SEASON</t>
  </si>
  <si>
    <t>Metric</t>
  </si>
  <si>
    <t>Room Nights Available</t>
  </si>
  <si>
    <t>Occupancy</t>
  </si>
  <si>
    <t>Occupied Nights</t>
  </si>
  <si>
    <t>Net ADR</t>
  </si>
  <si>
    <t>Accommodation Revenue</t>
  </si>
  <si>
    <t>Restaurant Revenue</t>
  </si>
  <si>
    <t>COMMERCIAL TOTAL</t>
  </si>
  <si>
    <t>COMMUNITY SEASON</t>
  </si>
  <si>
    <t>Token Holder Nights</t>
  </si>
  <si>
    <t>Guest Nights (40% of unused nights)</t>
  </si>
  <si>
    <t>Utility Fees (co-housing + co-living)</t>
  </si>
  <si>
    <t>Food revenue</t>
  </si>
  <si>
    <t>Cafe</t>
  </si>
  <si>
    <t>COMMUNITY TOTAL</t>
  </si>
  <si>
    <t>Glamping Big (6 units, 180d)</t>
  </si>
  <si>
    <t>Glamping Small (3 units, 180d)</t>
  </si>
  <si>
    <t>Treehouse (1 unit, 365d)</t>
  </si>
  <si>
    <t>Silo Cabins (3 units, 365d)</t>
  </si>
  <si>
    <t>Camping (6 spots, 180d)</t>
  </si>
  <si>
    <t>UNIQUE TOTAL</t>
  </si>
  <si>
    <t>OTHER REVENUE</t>
  </si>
  <si>
    <t>Events &amp; Retreats</t>
  </si>
  <si>
    <t>Donations</t>
  </si>
  <si>
    <t>OTHER TOTAL</t>
  </si>
  <si>
    <t>TOTAL REVENUE SUMMARY</t>
  </si>
  <si>
    <t>Commercial</t>
  </si>
  <si>
    <t>Community</t>
  </si>
  <si>
    <t>Unique Accommodations</t>
  </si>
  <si>
    <t>Other Revenue</t>
  </si>
  <si>
    <t>TOTAL REVENUE</t>
  </si>
  <si>
    <t>COST MODEL</t>
  </si>
  <si>
    <t>STAFF COSTS</t>
  </si>
  <si>
    <t>Total Staff (from Assumptions)</t>
  </si>
  <si>
    <t>COST OF GOODS SOLD</t>
  </si>
  <si>
    <t>Food Cost (Commercial)</t>
  </si>
  <si>
    <t>Food Cost (Community)</t>
  </si>
  <si>
    <t>Consumables</t>
  </si>
  <si>
    <t>Total COGS</t>
  </si>
  <si>
    <t>OPERATING EXPENSES</t>
  </si>
  <si>
    <t>Water, Electricity</t>
  </si>
  <si>
    <t>Insurance</t>
  </si>
  <si>
    <t>Marketing</t>
  </si>
  <si>
    <t>Accounting &amp; Legal</t>
  </si>
  <si>
    <t>Other OpEx</t>
  </si>
  <si>
    <t>Total OpEx</t>
  </si>
  <si>
    <t>DEPRECIATION</t>
  </si>
  <si>
    <t>FINANCING COSTS</t>
  </si>
  <si>
    <t>Bank Interest (5%)</t>
  </si>
  <si>
    <t>Private Loans Interest</t>
  </si>
  <si>
    <t>Total Financing</t>
  </si>
  <si>
    <t>TOTAL COSTS</t>
  </si>
  <si>
    <t>PROFIT &amp; LOSS 2028-2037</t>
  </si>
  <si>
    <t>Total Revenue</t>
  </si>
  <si>
    <t>COGS</t>
  </si>
  <si>
    <t>Gross Profit</t>
  </si>
  <si>
    <t>Staff Costs</t>
  </si>
  <si>
    <t>Operating Expenses</t>
  </si>
  <si>
    <t>EBITDA Margin</t>
  </si>
  <si>
    <t>Depreciation</t>
  </si>
  <si>
    <t>EBIT</t>
  </si>
  <si>
    <t>Financing Costs</t>
  </si>
  <si>
    <t>EBT</t>
  </si>
  <si>
    <t>Tax (21%)</t>
  </si>
  <si>
    <t>NET INCOME</t>
  </si>
  <si>
    <t>Net Margin</t>
  </si>
  <si>
    <t>CASH FLOW STATEMENT</t>
  </si>
  <si>
    <t>OPERATING ACTIVITIES</t>
  </si>
  <si>
    <t>Net Income</t>
  </si>
  <si>
    <t>Add: Depreciation</t>
  </si>
  <si>
    <t>Working Capital Changes</t>
  </si>
  <si>
    <t>Operating Cash Flow</t>
  </si>
  <si>
    <t>INVESTING ACTIVITIES</t>
  </si>
  <si>
    <t>Building Purchase (from Sam)</t>
  </si>
  <si>
    <t>Construction CapEx</t>
  </si>
  <si>
    <t>Equipment &amp; FF&amp;E</t>
  </si>
  <si>
    <t>Investing Cash Flow</t>
  </si>
  <si>
    <t>FINANCING ACTIVITIES</t>
  </si>
  <si>
    <t>Bank Loan Drawdown</t>
  </si>
  <si>
    <t>Bank Loan Principal</t>
  </si>
  <si>
    <t>Equity injection from token proceeds</t>
  </si>
  <si>
    <t>Private Loan</t>
  </si>
  <si>
    <t>Private Loan Principal</t>
  </si>
  <si>
    <t>Financing Cash Flow</t>
  </si>
  <si>
    <t>NET CASH FLOW</t>
  </si>
  <si>
    <t>Opening Cash</t>
  </si>
  <si>
    <t>Closing Cash</t>
  </si>
  <si>
    <t>BALANCE SHEET</t>
  </si>
  <si>
    <t>ASSETS</t>
  </si>
  <si>
    <t>Cash</t>
  </si>
  <si>
    <t>Property &amp; Buildings (Net)</t>
  </si>
  <si>
    <t>Other Assets</t>
  </si>
  <si>
    <t>TOTAL ASSETS</t>
  </si>
  <si>
    <t>LIABILITIES</t>
  </si>
  <si>
    <t>Bank Loans</t>
  </si>
  <si>
    <t>Private Loans</t>
  </si>
  <si>
    <t>Other Liabilities</t>
  </si>
  <si>
    <t>TOTAL LIABILITIES</t>
  </si>
  <si>
    <t>EQUITY</t>
  </si>
  <si>
    <t>Share capital</t>
  </si>
  <si>
    <t>Retained Earnings</t>
  </si>
  <si>
    <t>TOTAL EQUITY</t>
  </si>
  <si>
    <t>TOTAL LIAB + EQUITY</t>
  </si>
  <si>
    <t>Balance Check (should = 0)</t>
  </si>
  <si>
    <t>TDF FINANCIAL MODEL - SENSITIVITY ANALYSIS</t>
  </si>
  <si>
    <t>Impact of Occupancy (±10%) and ADR (±15%) on Financial Performance</t>
  </si>
  <si>
    <t>BASE CASE ASSUMPTIONS (2028)</t>
  </si>
  <si>
    <t>Base Occupancy</t>
  </si>
  <si>
    <t>Base Revenue</t>
  </si>
  <si>
    <t>Base EBITDA</t>
  </si>
  <si>
    <t>Base Cash (2028)</t>
  </si>
  <si>
    <t>Base Cash (2030)</t>
  </si>
  <si>
    <t>EBITDA SENSITIVITY MATRIX (€)</t>
  </si>
  <si>
    <t>ADR -15%</t>
  </si>
  <si>
    <t>ADR Base</t>
  </si>
  <si>
    <t>ADR +15%</t>
  </si>
  <si>
    <t>Occ -10%</t>
  </si>
  <si>
    <t>€158 057</t>
  </si>
  <si>
    <t>€201 591</t>
  </si>
  <si>
    <t>€245 126</t>
  </si>
  <si>
    <t>Occ Base</t>
  </si>
  <si>
    <t>€190 899</t>
  </si>
  <si>
    <t>€277 968</t>
  </si>
  <si>
    <t>Occ +10%</t>
  </si>
  <si>
    <t>€223 741</t>
  </si>
  <si>
    <t>€267 275</t>
  </si>
  <si>
    <t>€310 810</t>
  </si>
  <si>
    <t>CASH POSITION 2030 SENSITIVITY MATRIX (€)</t>
  </si>
  <si>
    <t>€364 482</t>
  </si>
  <si>
    <t>€473 319</t>
  </si>
  <si>
    <t>€582 156</t>
  </si>
  <si>
    <t>€446 587</t>
  </si>
  <si>
    <t>€555 424</t>
  </si>
  <si>
    <t>€664 261</t>
  </si>
  <si>
    <t>€528 692</t>
  </si>
  <si>
    <t>€637 529</t>
  </si>
  <si>
    <t>€746 366</t>
  </si>
  <si>
    <t>EBITDA % CHANGE FROM BASE CASE</t>
  </si>
  <si>
    <t>-32,6%</t>
  </si>
  <si>
    <t>-14,0%</t>
  </si>
  <si>
    <t>+4,6%</t>
  </si>
  <si>
    <t>-18,6%</t>
  </si>
  <si>
    <t>0,0%</t>
  </si>
  <si>
    <t>+18,6%</t>
  </si>
  <si>
    <t>-4,6%</t>
  </si>
  <si>
    <t>+14,0%</t>
  </si>
  <si>
    <t>+32,6%</t>
  </si>
  <si>
    <t>KEY INSIGHTS</t>
  </si>
  <si>
    <t>• Worst Case (-10% Occ, -15% ADR): EBITDA €158K (-33%), still positive</t>
  </si>
  <si>
    <t>• Best Case (+10% Occ, +15% ADR): EBITDA €311K (+33%)</t>
  </si>
  <si>
    <t>• Break-even maintained in ALL scenarios</t>
  </si>
  <si>
    <t>• Cash position remains positive even in worst case (€364K in 2030)</t>
  </si>
  <si>
    <t>• Model shows resilience to market downturns</t>
  </si>
  <si>
    <t>METHODOLOGY</t>
  </si>
  <si>
    <t>Revenue sensitivity: Commercial (58%) + Unique (18%) sensitive to both factors;</t>
  </si>
  <si>
    <t>Community (20%) sensitive to occupancy only; Other (3%) fixed.</t>
  </si>
  <si>
    <t>EBITDA assumes 60% variable margin on incremental revenue.</t>
  </si>
  <si>
    <t>Cash assumes 80% EBITDA conversion in year, cumulative effect for 2030.</t>
  </si>
  <si>
    <t>CO-HOUSING EXPANSION</t>
  </si>
  <si>
    <t>VILLAGE COMPONENTS</t>
  </si>
  <si>
    <t>Cost</t>
  </si>
  <si>
    <t>Common pot</t>
  </si>
  <si>
    <t>Neighborhood 1: Earthpod Hill</t>
  </si>
  <si>
    <t>Size (m2)</t>
  </si>
  <si>
    <t>Earthpods</t>
  </si>
  <si>
    <t>50-70m2</t>
  </si>
  <si>
    <t>Farmhouse (Shared)</t>
  </si>
  <si>
    <t>Staff housing, kitchen, cafe, library</t>
  </si>
  <si>
    <t>Neighborhood 2: Townhouses</t>
  </si>
  <si>
    <t>Townhouses</t>
  </si>
  <si>
    <t>Families, connected to Abela street</t>
  </si>
  <si>
    <t>Shared Facilities</t>
  </si>
  <si>
    <t>Education Center</t>
  </si>
  <si>
    <t>Tech + regen ag, volunteer teachers</t>
  </si>
  <si>
    <t>Commercial Orchard</t>
  </si>
  <si>
    <t>Olives, almonds, figs</t>
  </si>
  <si>
    <t>FINANCIAL MODEL</t>
  </si>
  <si>
    <t>Total</t>
  </si>
  <si>
    <t>Notes</t>
  </si>
  <si>
    <t>Capital Requirements</t>
  </si>
  <si>
    <t>Land Acquisition</t>
  </si>
  <si>
    <t>25 hectares</t>
  </si>
  <si>
    <t>Water Infrastructure</t>
  </si>
  <si>
    <t>Lakes, swales, etc.</t>
  </si>
  <si>
    <t>Roads &amp; Access</t>
  </si>
  <si>
    <t>Orchard Development</t>
  </si>
  <si>
    <t>6 ha food forest</t>
  </si>
  <si>
    <t>Farmhouse</t>
  </si>
  <si>
    <t>Education center</t>
  </si>
  <si>
    <t>Total Infrastructure</t>
  </si>
  <si>
    <t>House Construction (Participant Funded)</t>
  </si>
  <si>
    <t>Earthpods (10 units)</t>
  </si>
  <si>
    <t>Townhouses (13 units)</t>
  </si>
  <si>
    <t>Total Participant Investment</t>
  </si>
  <si>
    <t>Hard construction budget</t>
  </si>
  <si>
    <t>Total investment</t>
  </si>
  <si>
    <t>Recurring Revenue</t>
  </si>
  <si>
    <t>Monthly</t>
  </si>
  <si>
    <t>Utility Fees - Earthpods</t>
  </si>
  <si>
    <t>Utility Fees - Townhouses</t>
  </si>
  <si>
    <t>Annual Utility Revenue</t>
  </si>
  <si>
    <t>Co-Housing Commons</t>
  </si>
  <si>
    <t>Co-Housing Houses</t>
  </si>
  <si>
    <t>Equity injection from token proceeds (cohousing)</t>
  </si>
  <si>
    <t>Co-housing Deposits</t>
  </si>
  <si>
    <t>BALANCE SHEET (including co-housing)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</si>
</sst>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 €"/>
    <numFmt numFmtId="165" formatCode="0.0%"/>
    <numFmt numFmtId="166" formatCode="[$€]#,##0.00"/>
    <numFmt numFmtId="167" formatCode="[$€]#,##0"/>
    <numFmt numFmtId="168" formatCode="yyyy-mm-dd"/>
    <numFmt numFmtId="169" formatCode="&quot;€&quot;#,##0"/>
    <numFmt numFmtId="170" formatCode="mmm yyyy"/>
  </numFmts>
  <fonts count="27">
    <font>
      <sz val="11.0"/>
      <color theme="1"/>
      <name val="Calibri"/>
      <scheme val="minor"/>
    </font>
    <font>
      <b/>
      <sz val="14.0"/>
      <color rgb="FFFFFFFF"/>
      <name val="Barlow"/>
    </font>
    <font/>
    <font>
      <b/>
      <sz val="11.0"/>
      <color rgb="FF000000"/>
      <name val="Barlow"/>
    </font>
    <font>
      <sz val="11.0"/>
      <color rgb="FF000000"/>
      <name val="Barlow"/>
    </font>
    <font>
      <sz val="11.0"/>
      <color rgb="FF0000FF"/>
      <name val="Barlow"/>
    </font>
    <font>
      <color theme="1"/>
      <name val="Calibri"/>
      <scheme val="minor"/>
    </font>
    <font>
      <sz val="11.0"/>
      <color theme="1"/>
      <name val="Barlow"/>
    </font>
    <font>
      <color rgb="FF1155CC"/>
      <name val="Calibri"/>
      <scheme val="minor"/>
    </font>
    <font>
      <b/>
      <color theme="1"/>
      <name val="Calibri"/>
      <scheme val="minor"/>
    </font>
    <font>
      <color rgb="FF0000FF"/>
      <name val="Barlow"/>
    </font>
    <font>
      <color rgb="FF999999"/>
      <name val="Calibri"/>
      <scheme val="minor"/>
    </font>
    <font>
      <sz val="11.0"/>
      <color rgb="FFFFFFFF"/>
      <name val="Barlow"/>
    </font>
    <font>
      <i/>
      <sz val="11.0"/>
      <color rgb="FF000000"/>
      <name val="Barlow"/>
    </font>
    <font>
      <sz val="11.0"/>
      <color rgb="FF535353"/>
      <name val="Barlow"/>
    </font>
    <font>
      <b/>
      <sz val="11.0"/>
      <color rgb="FFFFFFFF"/>
      <name val="Barlow"/>
    </font>
    <font>
      <sz val="11.0"/>
      <color theme="1"/>
      <name val="Calibri"/>
    </font>
    <font>
      <i/>
      <color theme="1"/>
      <name val="Calibri"/>
      <scheme val="minor"/>
    </font>
    <font>
      <b/>
      <sz val="11.0"/>
      <color theme="1"/>
      <name val="Calibri"/>
    </font>
    <font>
      <sz val="12.0"/>
      <color rgb="FF000000"/>
      <name val="Barlow"/>
    </font>
    <font>
      <sz val="12.0"/>
      <color theme="1"/>
      <name val="Barlow"/>
    </font>
    <font>
      <i/>
      <sz val="11.0"/>
      <color rgb="FFB7B7B7"/>
      <name val="Barlow"/>
    </font>
    <font>
      <b/>
      <sz val="18.0"/>
      <color rgb="FF000000"/>
      <name val="Barlow"/>
    </font>
    <font>
      <color theme="1"/>
      <name val="Barlow"/>
    </font>
    <font>
      <sz val="12.0"/>
      <color rgb="FFFFFFFF"/>
      <name val="Barlow"/>
    </font>
    <font>
      <sz val="10.0"/>
      <color rgb="FF535353"/>
      <name val="Barlow"/>
    </font>
    <font>
      <sz val="11.0"/>
      <color rgb="FF111827"/>
      <name val="Barlow"/>
    </font>
  </fonts>
  <fills count="2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E0E0E0"/>
        <bgColor rgb="FFE0E0E0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262626"/>
        <bgColor rgb="FF262626"/>
      </patternFill>
    </fill>
    <fill>
      <patternFill patternType="solid">
        <fgColor rgb="FFDDEFFC"/>
        <bgColor rgb="FFDDEFFC"/>
      </patternFill>
    </fill>
    <fill>
      <patternFill patternType="solid">
        <fgColor rgb="FFFFFDE1"/>
        <bgColor rgb="FFFFFDE1"/>
      </patternFill>
    </fill>
    <fill>
      <patternFill patternType="solid">
        <fgColor rgb="FFFFF0D9"/>
        <bgColor rgb="FFFFF0D9"/>
      </patternFill>
    </fill>
    <fill>
      <patternFill patternType="solid">
        <fgColor rgb="FFEFDEF2"/>
        <bgColor rgb="FFEFDEF2"/>
      </patternFill>
    </fill>
    <fill>
      <patternFill patternType="solid">
        <fgColor rgb="FFF2F2F2"/>
        <bgColor rgb="FFF2F2F2"/>
      </patternFill>
    </fill>
    <fill>
      <patternFill patternType="solid">
        <fgColor rgb="FFE3F3E4"/>
        <bgColor rgb="FFE3F3E4"/>
      </patternFill>
    </fill>
    <fill>
      <patternFill patternType="solid">
        <fgColor rgb="FFCFE2F3"/>
        <bgColor rgb="FFCFE2F3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355BB7"/>
        <bgColor rgb="FF355BB7"/>
      </patternFill>
    </fill>
    <fill>
      <patternFill patternType="solid">
        <fgColor rgb="FFFDB9C3"/>
        <bgColor rgb="FFFDB9C3"/>
      </patternFill>
    </fill>
    <fill>
      <patternFill patternType="solid">
        <fgColor rgb="FFBBEDC3"/>
        <bgColor rgb="FFBBEDC3"/>
      </patternFill>
    </fill>
    <fill>
      <patternFill patternType="solid">
        <fgColor rgb="FFFFE88B"/>
        <bgColor rgb="FFFFE88B"/>
      </patternFill>
    </fill>
  </fills>
  <borders count="2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C1C1C1"/>
      </bottom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  <border>
      <left style="thin">
        <color rgb="FF9A9A9A"/>
      </left>
      <right style="thin">
        <color rgb="FF9A9A9A"/>
      </right>
      <top style="thin">
        <color rgb="FFC1C1C1"/>
      </top>
      <bottom style="thin">
        <color rgb="FF9A9A9A"/>
      </bottom>
    </border>
    <border>
      <left style="thin">
        <color rgb="FFC1C1C1"/>
      </left>
      <right style="thin">
        <color rgb="FF9A9A9A"/>
      </right>
      <top style="thin">
        <color rgb="FF9A9A9A"/>
      </top>
      <bottom style="thin">
        <color rgb="FF9A9A9A"/>
      </bottom>
    </border>
    <border>
      <top style="thin">
        <color rgb="FFC1C1C1"/>
      </top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C1C1C1"/>
      </top>
      <bottom style="thin">
        <color rgb="FFC1C1C1"/>
      </bottom>
    </border>
    <border>
      <left style="thin">
        <color rgb="FF000000"/>
      </left>
      <right style="thin">
        <color rgb="FF9A9A9A"/>
      </right>
      <top style="thin">
        <color rgb="FFC1C1C1"/>
      </top>
      <bottom style="thin">
        <color rgb="FFC1C1C1"/>
      </bottom>
    </border>
    <border>
      <left style="thin">
        <color rgb="FF9A9A9A"/>
      </left>
      <right style="thin">
        <color rgb="FF9A9A9A"/>
      </right>
      <top style="thin">
        <color rgb="FFC1C1C1"/>
      </top>
      <bottom style="thin">
        <color rgb="FFC1C1C1"/>
      </bottom>
    </border>
    <border>
      <left style="thin">
        <color rgb="FF9A9A9A"/>
      </left>
      <right style="thin">
        <color rgb="FF9A9A9A"/>
      </right>
      <top style="thin">
        <color rgb="FFC1C1C1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C1C1C1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C1C1C1"/>
      </bottom>
    </border>
    <border>
      <left style="thin">
        <color rgb="FFC1C1C1"/>
      </left>
      <top style="thin">
        <color rgb="FFC1C1C1"/>
      </top>
      <bottom style="thin">
        <color rgb="FFC1C1C1"/>
      </bottom>
    </border>
    <border>
      <right style="thin">
        <color rgb="FFC1C1C1"/>
      </right>
      <top style="thin">
        <color rgb="FFC1C1C1"/>
      </top>
      <bottom style="thin">
        <color rgb="FFC1C1C1"/>
      </bottom>
    </border>
    <border>
      <left style="thin">
        <color rgb="FF9A9A9A"/>
      </left>
      <top style="thin">
        <color rgb="FFC1C1C1"/>
      </top>
    </border>
    <border>
      <left style="thin">
        <color rgb="FF9A9A9A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C1C1C1"/>
      </bottom>
    </border>
    <border>
      <left style="thin">
        <color rgb="FF9A9A9A"/>
      </left>
      <right style="thin">
        <color rgb="FF9A9A9A"/>
      </right>
      <bottom style="thin">
        <color rgb="FFC1C1C1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0" fillId="0" fontId="4" numFmtId="0" xfId="0" applyFont="1"/>
    <xf borderId="5" fillId="4" fontId="5" numFmtId="0" xfId="0" applyAlignment="1" applyBorder="1" applyFill="1" applyFont="1">
      <alignment readingOrder="0"/>
    </xf>
    <xf borderId="5" fillId="5" fontId="4" numFmtId="0" xfId="0" applyBorder="1" applyFill="1" applyFont="1"/>
    <xf borderId="0" fillId="0" fontId="4" numFmtId="0" xfId="0" applyAlignment="1" applyFont="1">
      <alignment readingOrder="0"/>
    </xf>
    <xf borderId="5" fillId="4" fontId="4" numFmtId="0" xfId="0" applyBorder="1" applyFont="1"/>
    <xf borderId="4" fillId="3" fontId="3" numFmtId="0" xfId="0" applyAlignment="1" applyBorder="1" applyFont="1">
      <alignment readingOrder="0"/>
    </xf>
    <xf borderId="5" fillId="4" fontId="5" numFmtId="0" xfId="0" applyBorder="1" applyFont="1"/>
    <xf borderId="5" fillId="4" fontId="5" numFmtId="164" xfId="0" applyBorder="1" applyFont="1" applyNumberFormat="1"/>
    <xf borderId="0" fillId="0" fontId="6" numFmtId="0" xfId="0" applyAlignment="1" applyFont="1">
      <alignment readingOrder="0"/>
    </xf>
    <xf borderId="5" fillId="4" fontId="5" numFmtId="165" xfId="0" applyBorder="1" applyFont="1" applyNumberFormat="1"/>
    <xf borderId="5" fillId="5" fontId="4" numFmtId="164" xfId="0" applyBorder="1" applyFont="1" applyNumberFormat="1"/>
    <xf borderId="5" fillId="4" fontId="5" numFmtId="165" xfId="0" applyAlignment="1" applyBorder="1" applyFont="1" applyNumberFormat="1">
      <alignment readingOrder="0"/>
    </xf>
    <xf borderId="4" fillId="6" fontId="3" numFmtId="0" xfId="0" applyAlignment="1" applyBorder="1" applyFill="1" applyFont="1">
      <alignment readingOrder="0"/>
    </xf>
    <xf borderId="5" fillId="4" fontId="5" numFmtId="164" xfId="0" applyAlignment="1" applyBorder="1" applyFont="1" applyNumberFormat="1">
      <alignment readingOrder="0"/>
    </xf>
    <xf borderId="5" fillId="4" fontId="5" numFmtId="166" xfId="0" applyAlignment="1" applyBorder="1" applyFont="1" applyNumberFormat="1">
      <alignment readingOrder="0"/>
    </xf>
    <xf borderId="0" fillId="0" fontId="7" numFmtId="0" xfId="0" applyAlignment="1" applyFont="1">
      <alignment readingOrder="0" vertical="bottom"/>
    </xf>
    <xf borderId="5" fillId="4" fontId="5" numFmtId="165" xfId="0" applyAlignment="1" applyBorder="1" applyFont="1" applyNumberFormat="1">
      <alignment horizontal="right" readingOrder="0" vertical="bottom"/>
    </xf>
    <xf borderId="0" fillId="4" fontId="5" numFmtId="164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4" fontId="8" numFmtId="0" xfId="0" applyAlignment="1" applyFont="1">
      <alignment readingOrder="0"/>
    </xf>
    <xf borderId="0" fillId="0" fontId="6" numFmtId="167" xfId="0" applyAlignment="1" applyFont="1" applyNumberFormat="1">
      <alignment readingOrder="0"/>
    </xf>
    <xf borderId="0" fillId="0" fontId="6" numFmtId="167" xfId="0" applyFont="1" applyNumberFormat="1"/>
    <xf borderId="0" fillId="4" fontId="8" numFmtId="0" xfId="0" applyFont="1"/>
    <xf borderId="5" fillId="4" fontId="5" numFmtId="10" xfId="0" applyBorder="1" applyFont="1" applyNumberFormat="1"/>
    <xf borderId="0" fillId="0" fontId="9" numFmtId="167" xfId="0" applyFont="1" applyNumberFormat="1"/>
    <xf borderId="5" fillId="4" fontId="5" numFmtId="4" xfId="0" applyAlignment="1" applyBorder="1" applyFont="1" applyNumberFormat="1">
      <alignment readingOrder="0"/>
    </xf>
    <xf borderId="5" fillId="5" fontId="4" numFmtId="10" xfId="0" applyBorder="1" applyFont="1" applyNumberFormat="1"/>
    <xf borderId="0" fillId="4" fontId="10" numFmtId="167" xfId="0" applyFont="1" applyNumberFormat="1"/>
    <xf borderId="0" fillId="0" fontId="11" numFmtId="0" xfId="0" applyAlignment="1" applyFont="1">
      <alignment readingOrder="0"/>
    </xf>
    <xf borderId="0" fillId="0" fontId="11" numFmtId="167" xfId="0" applyFont="1" applyNumberFormat="1"/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7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8" fillId="7" fontId="12" numFmtId="0" xfId="0" applyAlignment="1" applyBorder="1" applyFill="1" applyFont="1">
      <alignment readingOrder="0" vertical="bottom"/>
    </xf>
    <xf borderId="0" fillId="0" fontId="12" numFmtId="0" xfId="0" applyAlignment="1" applyFont="1">
      <alignment readingOrder="0" vertical="bottom"/>
    </xf>
    <xf borderId="8" fillId="8" fontId="4" numFmtId="0" xfId="0" applyAlignment="1" applyBorder="1" applyFill="1" applyFont="1">
      <alignment readingOrder="0" vertical="bottom"/>
    </xf>
    <xf borderId="8" fillId="8" fontId="4" numFmtId="167" xfId="0" applyAlignment="1" applyBorder="1" applyFont="1" applyNumberFormat="1">
      <alignment readingOrder="0" vertical="bottom"/>
    </xf>
    <xf borderId="8" fillId="8" fontId="4" numFmtId="10" xfId="0" applyAlignment="1" applyBorder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8" fillId="9" fontId="4" numFmtId="0" xfId="0" applyAlignment="1" applyBorder="1" applyFill="1" applyFont="1">
      <alignment readingOrder="0" vertical="bottom"/>
    </xf>
    <xf borderId="8" fillId="9" fontId="4" numFmtId="167" xfId="0" applyAlignment="1" applyBorder="1" applyFont="1" applyNumberFormat="1">
      <alignment readingOrder="0" vertical="bottom"/>
    </xf>
    <xf borderId="8" fillId="9" fontId="4" numFmtId="10" xfId="0" applyAlignment="1" applyBorder="1" applyFont="1" applyNumberFormat="1">
      <alignment readingOrder="0" vertical="bottom"/>
    </xf>
    <xf borderId="8" fillId="9" fontId="4" numFmtId="9" xfId="0" applyAlignment="1" applyBorder="1" applyFont="1" applyNumberFormat="1">
      <alignment readingOrder="0" vertical="bottom"/>
    </xf>
    <xf borderId="0" fillId="0" fontId="4" numFmtId="9" xfId="0" applyAlignment="1" applyFont="1" applyNumberFormat="1">
      <alignment readingOrder="0" vertical="bottom"/>
    </xf>
    <xf borderId="8" fillId="10" fontId="4" numFmtId="0" xfId="0" applyAlignment="1" applyBorder="1" applyFill="1" applyFont="1">
      <alignment readingOrder="0" vertical="bottom"/>
    </xf>
    <xf borderId="8" fillId="10" fontId="4" numFmtId="167" xfId="0" applyAlignment="1" applyBorder="1" applyFont="1" applyNumberFormat="1">
      <alignment readingOrder="0" vertical="bottom"/>
    </xf>
    <xf borderId="8" fillId="10" fontId="4" numFmtId="10" xfId="0" applyAlignment="1" applyBorder="1" applyFont="1" applyNumberFormat="1">
      <alignment readingOrder="0" vertical="bottom"/>
    </xf>
    <xf borderId="8" fillId="10" fontId="4" numFmtId="9" xfId="0" applyAlignment="1" applyBorder="1" applyFont="1" applyNumberFormat="1">
      <alignment readingOrder="0" vertical="bottom"/>
    </xf>
    <xf borderId="8" fillId="11" fontId="4" numFmtId="0" xfId="0" applyAlignment="1" applyBorder="1" applyFill="1" applyFont="1">
      <alignment readingOrder="0" vertical="bottom"/>
    </xf>
    <xf borderId="8" fillId="11" fontId="4" numFmtId="167" xfId="0" applyAlignment="1" applyBorder="1" applyFont="1" applyNumberFormat="1">
      <alignment readingOrder="0" vertical="bottom"/>
    </xf>
    <xf borderId="8" fillId="11" fontId="4" numFmtId="10" xfId="0" applyAlignment="1" applyBorder="1" applyFont="1" applyNumberFormat="1">
      <alignment readingOrder="0" vertical="bottom"/>
    </xf>
    <xf borderId="8" fillId="11" fontId="4" numFmtId="9" xfId="0" applyAlignment="1" applyBorder="1" applyFont="1" applyNumberFormat="1">
      <alignment readingOrder="0" vertical="bottom"/>
    </xf>
    <xf borderId="8" fillId="12" fontId="4" numFmtId="0" xfId="0" applyAlignment="1" applyBorder="1" applyFill="1" applyFont="1">
      <alignment readingOrder="0" vertical="bottom"/>
    </xf>
    <xf borderId="8" fillId="12" fontId="4" numFmtId="167" xfId="0" applyAlignment="1" applyBorder="1" applyFont="1" applyNumberFormat="1">
      <alignment readingOrder="0" vertical="bottom"/>
    </xf>
    <xf borderId="8" fillId="12" fontId="7" numFmtId="0" xfId="0" applyAlignment="1" applyBorder="1" applyFont="1">
      <alignment vertical="bottom"/>
    </xf>
    <xf borderId="0" fillId="12" fontId="7" numFmtId="0" xfId="0" applyAlignment="1" applyFont="1">
      <alignment vertical="bottom"/>
    </xf>
    <xf borderId="9" fillId="0" fontId="7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8" fillId="9" fontId="4" numFmtId="168" xfId="0" applyAlignment="1" applyBorder="1" applyFont="1" applyNumberFormat="1">
      <alignment readingOrder="0" vertical="bottom"/>
    </xf>
    <xf borderId="10" fillId="0" fontId="7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11" fillId="9" fontId="4" numFmtId="0" xfId="0" applyAlignment="1" applyBorder="1" applyFont="1">
      <alignment readingOrder="0" vertical="bottom"/>
    </xf>
    <xf borderId="11" fillId="9" fontId="4" numFmtId="167" xfId="0" applyAlignment="1" applyBorder="1" applyFont="1" applyNumberFormat="1">
      <alignment readingOrder="0" vertical="bottom"/>
    </xf>
    <xf borderId="12" fillId="0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8" fillId="7" fontId="7" numFmtId="0" xfId="0" applyAlignment="1" applyBorder="1" applyFont="1">
      <alignment vertical="bottom"/>
    </xf>
    <xf borderId="13" fillId="8" fontId="4" numFmtId="0" xfId="0" applyAlignment="1" applyBorder="1" applyFont="1">
      <alignment readingOrder="0" vertical="bottom"/>
    </xf>
    <xf borderId="14" fillId="0" fontId="7" numFmtId="0" xfId="0" applyAlignment="1" applyBorder="1" applyFont="1">
      <alignment vertical="bottom"/>
    </xf>
    <xf borderId="15" fillId="0" fontId="7" numFmtId="0" xfId="0" applyAlignment="1" applyBorder="1" applyFont="1">
      <alignment vertical="bottom"/>
    </xf>
    <xf borderId="8" fillId="0" fontId="4" numFmtId="0" xfId="0" applyAlignment="1" applyBorder="1" applyFont="1">
      <alignment readingOrder="0" vertical="bottom"/>
    </xf>
    <xf borderId="8" fillId="0" fontId="4" numFmtId="169" xfId="0" applyAlignment="1" applyBorder="1" applyFont="1" applyNumberFormat="1">
      <alignment vertical="bottom"/>
    </xf>
    <xf borderId="8" fillId="0" fontId="4" numFmtId="167" xfId="0" applyAlignment="1" applyBorder="1" applyFont="1" applyNumberFormat="1">
      <alignment vertical="bottom"/>
    </xf>
    <xf borderId="8" fillId="0" fontId="4" numFmtId="167" xfId="0" applyAlignment="1" applyBorder="1" applyFont="1" applyNumberFormat="1">
      <alignment readingOrder="0" vertical="bottom"/>
    </xf>
    <xf borderId="8" fillId="0" fontId="13" numFmtId="0" xfId="0" applyAlignment="1" applyBorder="1" applyFont="1">
      <alignment readingOrder="0" vertical="bottom"/>
    </xf>
    <xf borderId="16" fillId="0" fontId="7" numFmtId="0" xfId="0" applyAlignment="1" applyBorder="1" applyFont="1">
      <alignment vertical="bottom"/>
    </xf>
    <xf borderId="9" fillId="0" fontId="7" numFmtId="167" xfId="0" applyAlignment="1" applyBorder="1" applyFont="1" applyNumberFormat="1">
      <alignment vertical="bottom"/>
    </xf>
    <xf borderId="17" fillId="9" fontId="4" numFmtId="0" xfId="0" applyAlignment="1" applyBorder="1" applyFont="1">
      <alignment readingOrder="0" vertical="bottom"/>
    </xf>
    <xf borderId="18" fillId="0" fontId="7" numFmtId="167" xfId="0" applyAlignment="1" applyBorder="1" applyFont="1" applyNumberFormat="1">
      <alignment vertical="bottom"/>
    </xf>
    <xf borderId="7" fillId="0" fontId="7" numFmtId="167" xfId="0" applyAlignment="1" applyBorder="1" applyFont="1" applyNumberFormat="1">
      <alignment vertical="bottom"/>
    </xf>
    <xf borderId="8" fillId="0" fontId="5" numFmtId="169" xfId="0" applyAlignment="1" applyBorder="1" applyFont="1" applyNumberFormat="1">
      <alignment readingOrder="0" vertical="bottom"/>
    </xf>
    <xf borderId="17" fillId="10" fontId="4" numFmtId="0" xfId="0" applyAlignment="1" applyBorder="1" applyFont="1">
      <alignment readingOrder="0" vertical="bottom"/>
    </xf>
    <xf borderId="17" fillId="11" fontId="4" numFmtId="0" xfId="0" applyAlignment="1" applyBorder="1" applyFont="1">
      <alignment readingOrder="0" vertical="bottom"/>
    </xf>
    <xf borderId="15" fillId="0" fontId="7" numFmtId="167" xfId="0" applyAlignment="1" applyBorder="1" applyFont="1" applyNumberFormat="1">
      <alignment vertical="bottom"/>
    </xf>
    <xf borderId="8" fillId="12" fontId="7" numFmtId="167" xfId="0" applyAlignment="1" applyBorder="1" applyFont="1" applyNumberFormat="1">
      <alignment vertical="bottom"/>
    </xf>
    <xf borderId="8" fillId="13" fontId="4" numFmtId="0" xfId="0" applyAlignment="1" applyBorder="1" applyFill="1" applyFont="1">
      <alignment readingOrder="0" vertical="bottom"/>
    </xf>
    <xf borderId="8" fillId="13" fontId="4" numFmtId="167" xfId="0" applyAlignment="1" applyBorder="1" applyFont="1" applyNumberFormat="1">
      <alignment vertical="bottom"/>
    </xf>
    <xf borderId="11" fillId="0" fontId="7" numFmtId="0" xfId="0" applyAlignment="1" applyBorder="1" applyFont="1">
      <alignment vertical="bottom"/>
    </xf>
    <xf borderId="0" fillId="14" fontId="4" numFmtId="0" xfId="0" applyAlignment="1" applyFill="1" applyFont="1">
      <alignment readingOrder="0"/>
    </xf>
    <xf borderId="11" fillId="0" fontId="7" numFmtId="0" xfId="0" applyAlignment="1" applyBorder="1" applyFont="1">
      <alignment readingOrder="0" vertical="bottom"/>
    </xf>
    <xf borderId="11" fillId="0" fontId="7" numFmtId="167" xfId="0" applyAlignment="1" applyBorder="1" applyFont="1" applyNumberFormat="1">
      <alignment readingOrder="0" vertical="bottom"/>
    </xf>
    <xf borderId="11" fillId="0" fontId="7" numFmtId="164" xfId="0" applyAlignment="1" applyBorder="1" applyFont="1" applyNumberFormat="1">
      <alignment vertical="bottom"/>
    </xf>
    <xf borderId="19" fillId="0" fontId="4" numFmtId="0" xfId="0" applyAlignment="1" applyBorder="1" applyFont="1">
      <alignment readingOrder="0" vertical="bottom"/>
    </xf>
    <xf borderId="0" fillId="0" fontId="4" numFmtId="169" xfId="0" applyAlignment="1" applyFont="1" applyNumberFormat="1">
      <alignment vertical="bottom"/>
    </xf>
    <xf borderId="0" fillId="0" fontId="4" numFmtId="167" xfId="0" applyAlignment="1" applyFont="1" applyNumberFormat="1">
      <alignment vertical="bottom"/>
    </xf>
    <xf borderId="20" fillId="0" fontId="4" numFmtId="167" xfId="0" applyAlignment="1" applyBorder="1" applyFont="1" applyNumberFormat="1">
      <alignment vertical="bottom"/>
    </xf>
    <xf borderId="0" fillId="0" fontId="7" numFmtId="4" xfId="0" applyAlignment="1" applyFont="1" applyNumberFormat="1">
      <alignment readingOrder="0" vertical="bottom"/>
    </xf>
    <xf borderId="0" fillId="0" fontId="7" numFmtId="4" xfId="0" applyAlignment="1" applyFont="1" applyNumberFormat="1">
      <alignment vertical="bottom"/>
    </xf>
    <xf borderId="11" fillId="0" fontId="7" numFmtId="4" xfId="0" applyAlignment="1" applyBorder="1" applyFont="1" applyNumberFormat="1">
      <alignment vertical="bottom"/>
    </xf>
    <xf borderId="21" fillId="0" fontId="7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7" numFmtId="0" xfId="0" applyFont="1"/>
    <xf borderId="1" fillId="2" fontId="1" numFmtId="0" xfId="0" applyAlignment="1" applyBorder="1" applyFont="1">
      <alignment readingOrder="0"/>
    </xf>
    <xf borderId="4" fillId="15" fontId="3" numFmtId="0" xfId="0" applyAlignment="1" applyBorder="1" applyFill="1" applyFont="1">
      <alignment readingOrder="0"/>
    </xf>
    <xf borderId="5" fillId="2" fontId="15" numFmtId="0" xfId="0" applyAlignment="1" applyBorder="1" applyFont="1">
      <alignment horizontal="center" shrinkToFit="0" vertical="center" wrapText="1"/>
    </xf>
    <xf borderId="0" fillId="0" fontId="6" numFmtId="0" xfId="0" applyFont="1"/>
    <xf borderId="5" fillId="15" fontId="4" numFmtId="0" xfId="0" applyBorder="1" applyFont="1"/>
    <xf borderId="0" fillId="0" fontId="16" numFmtId="165" xfId="0" applyFont="1" applyNumberFormat="1"/>
    <xf borderId="5" fillId="15" fontId="4" numFmtId="165" xfId="0" applyBorder="1" applyFont="1" applyNumberFormat="1"/>
    <xf borderId="0" fillId="0" fontId="16" numFmtId="164" xfId="0" applyFont="1" applyNumberFormat="1"/>
    <xf borderId="5" fillId="15" fontId="4" numFmtId="164" xfId="0" applyBorder="1" applyFont="1" applyNumberFormat="1"/>
    <xf borderId="5" fillId="5" fontId="3" numFmtId="164" xfId="0" applyBorder="1" applyFont="1" applyNumberFormat="1"/>
    <xf borderId="4" fillId="16" fontId="3" numFmtId="0" xfId="0" applyAlignment="1" applyBorder="1" applyFill="1" applyFont="1">
      <alignment readingOrder="0"/>
    </xf>
    <xf borderId="5" fillId="16" fontId="4" numFmtId="0" xfId="0" applyBorder="1" applyFont="1"/>
    <xf borderId="5" fillId="16" fontId="4" numFmtId="164" xfId="0" applyBorder="1" applyFont="1" applyNumberFormat="1"/>
    <xf borderId="0" fillId="0" fontId="16" numFmtId="164" xfId="0" applyAlignment="1" applyFont="1" applyNumberFormat="1">
      <alignment readingOrder="0"/>
    </xf>
    <xf borderId="5" fillId="6" fontId="4" numFmtId="164" xfId="0" applyBorder="1" applyFont="1" applyNumberFormat="1"/>
    <xf borderId="5" fillId="5" fontId="3" numFmtId="164" xfId="0" applyAlignment="1" applyBorder="1" applyFont="1" applyNumberFormat="1">
      <alignment readingOrder="0"/>
    </xf>
    <xf borderId="4" fillId="2" fontId="15" numFmtId="0" xfId="0" applyBorder="1" applyFont="1"/>
    <xf borderId="5" fillId="0" fontId="3" numFmtId="0" xfId="0" applyBorder="1" applyFont="1"/>
    <xf borderId="0" fillId="0" fontId="9" numFmtId="0" xfId="0" applyFont="1"/>
    <xf borderId="5" fillId="0" fontId="4" numFmtId="0" xfId="0" applyAlignment="1" applyBorder="1" applyFont="1">
      <alignment readingOrder="0"/>
    </xf>
    <xf borderId="5" fillId="0" fontId="4" numFmtId="164" xfId="0" applyBorder="1" applyFont="1" applyNumberFormat="1"/>
    <xf borderId="0" fillId="0" fontId="4" numFmtId="164" xfId="0" applyFont="1" applyNumberFormat="1"/>
    <xf borderId="0" fillId="0" fontId="17" numFmtId="0" xfId="0" applyFont="1"/>
    <xf borderId="0" fillId="0" fontId="18" numFmtId="164" xfId="0" applyFont="1" applyNumberFormat="1"/>
    <xf borderId="5" fillId="5" fontId="3" numFmtId="0" xfId="0" applyBorder="1" applyFont="1"/>
    <xf borderId="0" fillId="17" fontId="6" numFmtId="0" xfId="0" applyFill="1" applyFont="1"/>
    <xf borderId="0" fillId="0" fontId="9" numFmtId="0" xfId="0" applyAlignment="1" applyFont="1">
      <alignment readingOrder="0"/>
    </xf>
    <xf borderId="5" fillId="0" fontId="4" numFmtId="0" xfId="0" applyBorder="1" applyFont="1"/>
    <xf borderId="22" fillId="7" fontId="15" numFmtId="0" xfId="0" applyAlignment="1" applyBorder="1" applyFont="1">
      <alignment readingOrder="0" vertical="bottom"/>
    </xf>
    <xf borderId="23" fillId="0" fontId="2" numFmtId="0" xfId="0" applyBorder="1" applyFont="1"/>
    <xf borderId="24" fillId="0" fontId="2" numFmtId="0" xfId="0" applyBorder="1" applyFont="1"/>
    <xf borderId="25" fillId="18" fontId="7" numFmtId="0" xfId="0" applyAlignment="1" applyBorder="1" applyFill="1" applyFont="1">
      <alignment vertical="bottom"/>
    </xf>
    <xf borderId="26" fillId="18" fontId="7" numFmtId="0" xfId="0" applyAlignment="1" applyBorder="1" applyFont="1">
      <alignment vertical="bottom"/>
    </xf>
    <xf borderId="7" fillId="18" fontId="7" numFmtId="0" xfId="0" applyAlignment="1" applyBorder="1" applyFont="1">
      <alignment vertical="bottom"/>
    </xf>
    <xf borderId="8" fillId="7" fontId="15" numFmtId="0" xfId="0" applyAlignment="1" applyBorder="1" applyFont="1">
      <alignment horizontal="center" readingOrder="0" vertical="bottom"/>
    </xf>
    <xf borderId="8" fillId="19" fontId="3" numFmtId="0" xfId="0" applyAlignment="1" applyBorder="1" applyFill="1" applyFont="1">
      <alignment readingOrder="0" vertical="bottom"/>
    </xf>
    <xf borderId="8" fillId="19" fontId="7" numFmtId="0" xfId="0" applyAlignment="1" applyBorder="1" applyFont="1">
      <alignment vertical="bottom"/>
    </xf>
    <xf borderId="8" fillId="18" fontId="4" numFmtId="0" xfId="0" applyAlignment="1" applyBorder="1" applyFont="1">
      <alignment readingOrder="0" vertical="bottom"/>
    </xf>
    <xf borderId="8" fillId="18" fontId="4" numFmtId="167" xfId="0" applyAlignment="1" applyBorder="1" applyFont="1" applyNumberFormat="1">
      <alignment readingOrder="0" vertical="bottom"/>
    </xf>
    <xf borderId="8" fillId="10" fontId="3" numFmtId="0" xfId="0" applyAlignment="1" applyBorder="1" applyFont="1">
      <alignment readingOrder="0" vertical="bottom"/>
    </xf>
    <xf borderId="8" fillId="10" fontId="3" numFmtId="167" xfId="0" applyAlignment="1" applyBorder="1" applyFont="1" applyNumberFormat="1">
      <alignment readingOrder="0" vertical="bottom"/>
    </xf>
    <xf borderId="8" fillId="18" fontId="7" numFmtId="0" xfId="0" applyAlignment="1" applyBorder="1" applyFont="1">
      <alignment vertical="bottom"/>
    </xf>
    <xf borderId="8" fillId="18" fontId="7" numFmtId="167" xfId="0" applyAlignment="1" applyBorder="1" applyFont="1" applyNumberFormat="1">
      <alignment vertical="bottom"/>
    </xf>
    <xf borderId="8" fillId="19" fontId="7" numFmtId="167" xfId="0" applyAlignment="1" applyBorder="1" applyFont="1" applyNumberFormat="1">
      <alignment vertical="bottom"/>
    </xf>
    <xf borderId="8" fillId="0" fontId="19" numFmtId="167" xfId="0" applyAlignment="1" applyBorder="1" applyFont="1" applyNumberFormat="1">
      <alignment readingOrder="0" vertical="bottom"/>
    </xf>
    <xf borderId="8" fillId="0" fontId="19" numFmtId="0" xfId="0" applyAlignment="1" applyBorder="1" applyFont="1">
      <alignment readingOrder="0" vertical="bottom"/>
    </xf>
    <xf borderId="8" fillId="0" fontId="20" numFmtId="167" xfId="0" applyAlignment="1" applyBorder="1" applyFont="1" applyNumberFormat="1">
      <alignment horizontal="right" readingOrder="0" vertical="bottom"/>
    </xf>
    <xf borderId="8" fillId="18" fontId="7" numFmtId="167" xfId="0" applyAlignment="1" applyBorder="1" applyFont="1" applyNumberFormat="1">
      <alignment horizontal="right" vertical="bottom"/>
    </xf>
    <xf borderId="8" fillId="18" fontId="7" numFmtId="167" xfId="0" applyAlignment="1" applyBorder="1" applyFont="1" applyNumberFormat="1">
      <alignment horizontal="right" readingOrder="0" vertical="bottom"/>
    </xf>
    <xf borderId="8" fillId="0" fontId="7" numFmtId="167" xfId="0" applyAlignment="1" applyBorder="1" applyFont="1" applyNumberFormat="1">
      <alignment vertical="bottom"/>
    </xf>
    <xf borderId="8" fillId="7" fontId="15" numFmtId="170" xfId="0" applyAlignment="1" applyBorder="1" applyFont="1" applyNumberFormat="1">
      <alignment horizontal="center" readingOrder="0" vertical="bottom"/>
    </xf>
    <xf borderId="8" fillId="13" fontId="4" numFmtId="167" xfId="0" applyAlignment="1" applyBorder="1" applyFont="1" applyNumberFormat="1">
      <alignment readingOrder="0" vertical="bottom"/>
    </xf>
    <xf borderId="8" fillId="18" fontId="21" numFmtId="0" xfId="0" applyAlignment="1" applyBorder="1" applyFont="1">
      <alignment readingOrder="0" vertical="bottom"/>
    </xf>
    <xf borderId="8" fillId="18" fontId="21" numFmtId="167" xfId="0" applyAlignment="1" applyBorder="1" applyFont="1" applyNumberFormat="1">
      <alignment readingOrder="0" vertical="bottom"/>
    </xf>
    <xf borderId="0" fillId="18" fontId="22" numFmtId="0" xfId="0" applyAlignment="1" applyFont="1">
      <alignment readingOrder="0" vertical="bottom"/>
    </xf>
    <xf borderId="0" fillId="18" fontId="19" numFmtId="0" xfId="0" applyAlignment="1" applyFont="1">
      <alignment readingOrder="0" vertical="bottom"/>
    </xf>
    <xf borderId="0" fillId="18" fontId="23" numFmtId="0" xfId="0" applyAlignment="1" applyFont="1">
      <alignment vertical="bottom"/>
    </xf>
    <xf borderId="0" fillId="18" fontId="19" numFmtId="9" xfId="0" applyAlignment="1" applyFont="1" applyNumberFormat="1">
      <alignment horizontal="right" readingOrder="0"/>
    </xf>
    <xf borderId="0" fillId="18" fontId="19" numFmtId="169" xfId="0" applyAlignment="1" applyFont="1" applyNumberFormat="1">
      <alignment horizontal="right" readingOrder="0"/>
    </xf>
    <xf borderId="0" fillId="20" fontId="23" numFmtId="0" xfId="0" applyFill="1" applyFont="1"/>
    <xf borderId="0" fillId="20" fontId="24" numFmtId="0" xfId="0" applyAlignment="1" applyFont="1">
      <alignment horizontal="center" readingOrder="0"/>
    </xf>
    <xf borderId="0" fillId="21" fontId="19" numFmtId="0" xfId="0" applyAlignment="1" applyFill="1" applyFont="1">
      <alignment horizontal="center" readingOrder="0"/>
    </xf>
    <xf borderId="0" fillId="22" fontId="19" numFmtId="0" xfId="0" applyAlignment="1" applyFill="1" applyFont="1">
      <alignment horizontal="center" readingOrder="0"/>
    </xf>
    <xf borderId="0" fillId="23" fontId="19" numFmtId="169" xfId="0" applyAlignment="1" applyFill="1" applyFont="1" applyNumberFormat="1">
      <alignment horizontal="center" readingOrder="0"/>
    </xf>
    <xf borderId="0" fillId="23" fontId="19" numFmtId="0" xfId="0" applyAlignment="1" applyFont="1">
      <alignment horizontal="center" readingOrder="0"/>
    </xf>
    <xf quotePrefix="1" borderId="0" fillId="22" fontId="19" numFmtId="0" xfId="0" applyAlignment="1" applyFont="1">
      <alignment horizontal="center" readingOrder="0"/>
    </xf>
    <xf borderId="0" fillId="18" fontId="25" numFmtId="0" xfId="0" applyAlignment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4" fillId="3" fontId="3" numFmtId="166" xfId="0" applyBorder="1" applyFont="1" applyNumberFormat="1"/>
    <xf borderId="0" fillId="4" fontId="5" numFmtId="164" xfId="0" applyFont="1" applyNumberFormat="1"/>
    <xf borderId="0" fillId="5" fontId="4" numFmtId="164" xfId="0" applyFont="1" applyNumberFormat="1"/>
    <xf borderId="4" fillId="0" fontId="3" numFmtId="0" xfId="0" applyAlignment="1" applyBorder="1" applyFont="1">
      <alignment readingOrder="0"/>
    </xf>
    <xf borderId="0" fillId="0" fontId="6" numFmtId="166" xfId="0" applyFont="1" applyNumberFormat="1"/>
    <xf borderId="8" fillId="0" fontId="7" numFmtId="167" xfId="0" applyAlignment="1" applyBorder="1" applyFont="1" applyNumberFormat="1">
      <alignment horizontal="right" readingOrder="0" vertical="bottom"/>
    </xf>
    <xf borderId="0" fillId="18" fontId="26" numFmtId="0" xfId="0" applyAlignment="1" applyFont="1">
      <alignment readingOrder="0"/>
    </xf>
    <xf borderId="0" fillId="18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4.0"/>
    <col customWidth="1" min="3" max="3" width="12.0"/>
    <col customWidth="1" min="4" max="4" width="23.86"/>
    <col customWidth="1" min="5" max="5" width="14.29"/>
  </cols>
  <sheetData>
    <row r="1">
      <c r="A1" s="1" t="s">
        <v>0</v>
      </c>
      <c r="B1" s="2"/>
      <c r="C1" s="2"/>
      <c r="D1" s="2"/>
      <c r="E1" s="3"/>
    </row>
    <row r="3">
      <c r="A3" s="4" t="s">
        <v>1</v>
      </c>
    </row>
    <row r="4">
      <c r="A4" s="5" t="s">
        <v>2</v>
      </c>
      <c r="B4" s="6">
        <v>5.0</v>
      </c>
      <c r="C4" s="5" t="s">
        <v>3</v>
      </c>
    </row>
    <row r="5">
      <c r="A5" s="5" t="s">
        <v>4</v>
      </c>
      <c r="B5" s="7">
        <f>B4*30.5</f>
        <v>152.5</v>
      </c>
      <c r="C5" s="5" t="s">
        <v>5</v>
      </c>
    </row>
    <row r="6">
      <c r="A6" s="8" t="s">
        <v>6</v>
      </c>
      <c r="B6" s="9">
        <f>12-B4</f>
        <v>7</v>
      </c>
      <c r="C6" s="5"/>
    </row>
    <row r="7">
      <c r="A7" s="5" t="s">
        <v>7</v>
      </c>
      <c r="B7" s="7">
        <f>365-B5</f>
        <v>212.5</v>
      </c>
      <c r="C7" s="5" t="s">
        <v>5</v>
      </c>
    </row>
    <row r="10">
      <c r="A10" s="10" t="s">
        <v>8</v>
      </c>
    </row>
    <row r="11">
      <c r="A11" s="5" t="s">
        <v>9</v>
      </c>
      <c r="B11" s="6">
        <v>12.0</v>
      </c>
      <c r="C11" s="5" t="s">
        <v>10</v>
      </c>
    </row>
    <row r="12">
      <c r="A12" s="5" t="s">
        <v>11</v>
      </c>
      <c r="B12" s="11">
        <v>4.0</v>
      </c>
      <c r="C12" s="5" t="s">
        <v>10</v>
      </c>
    </row>
    <row r="13">
      <c r="A13" s="5" t="s">
        <v>12</v>
      </c>
      <c r="B13" s="7">
        <f>SUM(B11:B12)</f>
        <v>16</v>
      </c>
      <c r="C13" s="5" t="s">
        <v>10</v>
      </c>
    </row>
    <row r="14" ht="15.75" customHeight="1">
      <c r="A14" s="5" t="s">
        <v>13</v>
      </c>
      <c r="B14" s="12">
        <v>165.0</v>
      </c>
      <c r="C14" s="5" t="s">
        <v>14</v>
      </c>
    </row>
    <row r="15" ht="15.75" customHeight="1">
      <c r="A15" s="5" t="s">
        <v>15</v>
      </c>
      <c r="B15" s="12">
        <v>85.0</v>
      </c>
      <c r="C15" s="5" t="s">
        <v>14</v>
      </c>
    </row>
    <row r="16" ht="15.75" customHeight="1">
      <c r="A16" s="8" t="s">
        <v>16</v>
      </c>
      <c r="B16" s="12">
        <f>if(B93&lt;50%, B14*2/3+B15*1/3,B14)</f>
        <v>138.3333333</v>
      </c>
      <c r="C16" s="5" t="s">
        <v>14</v>
      </c>
      <c r="D16" s="13" t="s">
        <v>17</v>
      </c>
    </row>
    <row r="17">
      <c r="A17" s="8" t="s">
        <v>18</v>
      </c>
      <c r="B17" s="6">
        <v>4.0</v>
      </c>
      <c r="C17" s="5" t="s">
        <v>10</v>
      </c>
      <c r="D17" s="13" t="s">
        <v>19</v>
      </c>
    </row>
    <row r="18">
      <c r="A18" s="8" t="s">
        <v>20</v>
      </c>
      <c r="B18" s="11">
        <v>1.0</v>
      </c>
      <c r="C18" s="5" t="s">
        <v>21</v>
      </c>
      <c r="D18" s="13" t="s">
        <v>22</v>
      </c>
    </row>
    <row r="19" ht="15.75" customHeight="1">
      <c r="A19" s="5" t="s">
        <v>23</v>
      </c>
      <c r="B19" s="14">
        <v>0.18</v>
      </c>
      <c r="C19" s="5" t="s">
        <v>24</v>
      </c>
    </row>
    <row r="20" ht="15.75" customHeight="1">
      <c r="A20" s="5" t="s">
        <v>25</v>
      </c>
      <c r="B20" s="15">
        <f>B16*(1-B19)</f>
        <v>113.4333333</v>
      </c>
      <c r="C20" s="5" t="s">
        <v>14</v>
      </c>
    </row>
    <row r="21" ht="15.75" customHeight="1">
      <c r="A21" s="5" t="s">
        <v>26</v>
      </c>
      <c r="B21" s="14">
        <v>0.55</v>
      </c>
      <c r="C21" s="5" t="s">
        <v>24</v>
      </c>
    </row>
    <row r="22" ht="15.75" customHeight="1">
      <c r="A22" s="5" t="s">
        <v>27</v>
      </c>
      <c r="B22" s="16">
        <v>0.9</v>
      </c>
      <c r="C22" s="5" t="s">
        <v>24</v>
      </c>
      <c r="D22" s="13" t="s">
        <v>28</v>
      </c>
    </row>
    <row r="23" ht="15.75" customHeight="1"/>
    <row r="24" ht="15.75" customHeight="1"/>
    <row r="25" ht="15.75" customHeight="1">
      <c r="A25" s="17" t="s">
        <v>29</v>
      </c>
    </row>
    <row r="26" ht="15.75" customHeight="1">
      <c r="A26" s="5" t="s">
        <v>30</v>
      </c>
      <c r="B26" s="11">
        <v>6.0</v>
      </c>
      <c r="C26" s="5" t="s">
        <v>10</v>
      </c>
    </row>
    <row r="27" ht="15.75" customHeight="1">
      <c r="A27" s="5" t="s">
        <v>31</v>
      </c>
      <c r="B27" s="11">
        <v>3.0</v>
      </c>
      <c r="C27" s="5" t="s">
        <v>10</v>
      </c>
    </row>
    <row r="28" ht="15.75" customHeight="1">
      <c r="A28" s="5" t="s">
        <v>32</v>
      </c>
      <c r="B28" s="11">
        <v>1.0</v>
      </c>
      <c r="C28" s="5" t="s">
        <v>21</v>
      </c>
    </row>
    <row r="29" ht="15.75" customHeight="1">
      <c r="A29" s="5" t="s">
        <v>33</v>
      </c>
      <c r="B29" s="11">
        <v>3.0</v>
      </c>
      <c r="C29" s="5" t="s">
        <v>10</v>
      </c>
    </row>
    <row r="30" ht="15.75" customHeight="1">
      <c r="A30" s="5" t="s">
        <v>34</v>
      </c>
      <c r="B30" s="11">
        <v>6.0</v>
      </c>
      <c r="C30" s="5" t="s">
        <v>10</v>
      </c>
    </row>
    <row r="31" ht="15.75" customHeight="1">
      <c r="A31" s="5" t="s">
        <v>35</v>
      </c>
      <c r="B31" s="7">
        <f>SUM(B26:B30)</f>
        <v>19</v>
      </c>
      <c r="C31" s="5" t="s">
        <v>10</v>
      </c>
    </row>
    <row r="32" ht="15.75" customHeight="1">
      <c r="A32" s="5"/>
    </row>
    <row r="33" ht="15.75" customHeight="1">
      <c r="A33" s="5" t="s">
        <v>36</v>
      </c>
      <c r="B33" s="18">
        <v>90.0</v>
      </c>
      <c r="C33" s="5" t="s">
        <v>37</v>
      </c>
    </row>
    <row r="34" ht="15.75" customHeight="1">
      <c r="A34" s="5" t="s">
        <v>38</v>
      </c>
      <c r="B34" s="12">
        <v>50.0</v>
      </c>
      <c r="C34" s="5" t="s">
        <v>37</v>
      </c>
    </row>
    <row r="35" ht="15.75" customHeight="1">
      <c r="A35" s="5" t="s">
        <v>39</v>
      </c>
      <c r="B35" s="18">
        <v>120.0</v>
      </c>
      <c r="C35" s="5" t="s">
        <v>37</v>
      </c>
    </row>
    <row r="36" ht="15.75" customHeight="1">
      <c r="A36" s="5" t="s">
        <v>40</v>
      </c>
      <c r="B36" s="18">
        <v>90.0</v>
      </c>
      <c r="C36" s="5" t="s">
        <v>37</v>
      </c>
    </row>
    <row r="37" ht="15.75" customHeight="1">
      <c r="A37" s="5" t="s">
        <v>41</v>
      </c>
      <c r="B37" s="18">
        <v>20.0</v>
      </c>
      <c r="C37" s="5" t="s">
        <v>37</v>
      </c>
    </row>
    <row r="38" ht="15.75" customHeight="1">
      <c r="A38" s="5"/>
    </row>
    <row r="39" ht="15.75" customHeight="1">
      <c r="A39" s="8" t="s">
        <v>42</v>
      </c>
      <c r="B39" s="16">
        <v>0.4</v>
      </c>
      <c r="C39" s="5" t="s">
        <v>24</v>
      </c>
    </row>
    <row r="40" ht="15.75" customHeight="1">
      <c r="A40" s="5" t="s">
        <v>43</v>
      </c>
      <c r="B40" s="11">
        <v>180.0</v>
      </c>
      <c r="C40" s="5" t="s">
        <v>5</v>
      </c>
    </row>
    <row r="41" ht="15.75" customHeight="1">
      <c r="A41" s="5" t="s">
        <v>44</v>
      </c>
      <c r="B41" s="11">
        <v>365.0</v>
      </c>
      <c r="C41" s="5" t="s">
        <v>5</v>
      </c>
    </row>
    <row r="42" ht="15.75" customHeight="1"/>
    <row r="43" ht="15.75" customHeight="1"/>
    <row r="44" ht="15.75" customHeight="1">
      <c r="A44" s="4" t="s">
        <v>45</v>
      </c>
    </row>
    <row r="45" ht="15.75" customHeight="1">
      <c r="A45" s="5" t="s">
        <v>46</v>
      </c>
      <c r="B45" s="11">
        <v>30.0</v>
      </c>
      <c r="C45" s="5"/>
    </row>
    <row r="46" ht="15.75" customHeight="1">
      <c r="A46" s="8" t="s">
        <v>47</v>
      </c>
      <c r="B46" s="11">
        <f>B45*1.2</f>
        <v>36</v>
      </c>
      <c r="C46" s="5"/>
    </row>
    <row r="47" ht="15.75" customHeight="1">
      <c r="A47" s="5" t="s">
        <v>48</v>
      </c>
      <c r="B47" s="19">
        <v>15.0</v>
      </c>
      <c r="C47" s="5"/>
    </row>
    <row r="48" ht="15.75" customHeight="1">
      <c r="A48" s="5" t="s">
        <v>49</v>
      </c>
      <c r="B48" s="19">
        <v>25.0</v>
      </c>
      <c r="C48" s="5"/>
    </row>
    <row r="49" ht="15.75" customHeight="1">
      <c r="A49" s="8" t="s">
        <v>50</v>
      </c>
      <c r="B49" s="14">
        <v>0.3</v>
      </c>
      <c r="C49" s="5"/>
    </row>
    <row r="50" ht="15.75" customHeight="1">
      <c r="A50" s="8" t="s">
        <v>51</v>
      </c>
      <c r="B50" s="18">
        <v>8.0</v>
      </c>
      <c r="C50" s="5"/>
    </row>
    <row r="51" ht="15.75" customHeight="1">
      <c r="A51" s="20" t="s">
        <v>52</v>
      </c>
      <c r="B51" s="21">
        <v>0.7</v>
      </c>
      <c r="C51" s="5"/>
    </row>
    <row r="52" ht="15.75" customHeight="1">
      <c r="A52" s="8" t="s">
        <v>53</v>
      </c>
      <c r="B52" s="6">
        <v>20.0</v>
      </c>
      <c r="C52" s="5"/>
    </row>
    <row r="53" ht="15.75" customHeight="1">
      <c r="A53" s="8" t="s">
        <v>54</v>
      </c>
      <c r="B53" s="18">
        <v>5.0</v>
      </c>
      <c r="C53" s="5" t="s">
        <v>14</v>
      </c>
    </row>
    <row r="54" ht="15.75" customHeight="1">
      <c r="A54" s="8" t="s">
        <v>55</v>
      </c>
      <c r="B54" s="18">
        <v>14.0</v>
      </c>
      <c r="C54" s="8" t="s">
        <v>56</v>
      </c>
    </row>
    <row r="55" ht="15.75" customHeight="1">
      <c r="A55" s="13" t="s">
        <v>57</v>
      </c>
      <c r="B55" s="22">
        <v>4.0</v>
      </c>
      <c r="C55" s="8" t="s">
        <v>58</v>
      </c>
    </row>
    <row r="56" ht="15.75" customHeight="1"/>
    <row r="57" ht="15.75" customHeight="1">
      <c r="A57" s="4" t="s">
        <v>59</v>
      </c>
    </row>
    <row r="58" ht="15.75" customHeight="1">
      <c r="A58" s="5" t="s">
        <v>60</v>
      </c>
      <c r="B58" s="14">
        <v>0.02</v>
      </c>
      <c r="C58" s="5" t="s">
        <v>24</v>
      </c>
    </row>
    <row r="59" ht="15.75" customHeight="1">
      <c r="A59" s="5" t="s">
        <v>61</v>
      </c>
      <c r="B59" s="14">
        <v>0.08</v>
      </c>
      <c r="C59" s="5" t="s">
        <v>24</v>
      </c>
    </row>
    <row r="60" ht="15.75" customHeight="1">
      <c r="A60" s="5" t="s">
        <v>62</v>
      </c>
      <c r="B60" s="14">
        <v>0.015</v>
      </c>
      <c r="C60" s="5" t="s">
        <v>24</v>
      </c>
    </row>
    <row r="61" ht="15.75" customHeight="1"/>
    <row r="62" ht="15.75" customHeight="1">
      <c r="A62" s="10" t="s">
        <v>63</v>
      </c>
    </row>
    <row r="63" ht="15.75" customHeight="1">
      <c r="A63" s="8" t="s">
        <v>64</v>
      </c>
      <c r="B63" s="8">
        <v>2000.0</v>
      </c>
    </row>
    <row r="64" ht="15.75" customHeight="1">
      <c r="A64" s="13" t="s">
        <v>65</v>
      </c>
      <c r="B64" s="23">
        <v>0.25</v>
      </c>
    </row>
    <row r="65" ht="15.75" customHeight="1"/>
    <row r="66" ht="15.75" customHeight="1">
      <c r="A66" s="4" t="s">
        <v>66</v>
      </c>
      <c r="B66" s="24" t="s">
        <v>67</v>
      </c>
      <c r="C66" s="24" t="s">
        <v>68</v>
      </c>
      <c r="D66" s="24" t="s">
        <v>69</v>
      </c>
    </row>
    <row r="67" ht="15.75" customHeight="1">
      <c r="A67" s="13" t="s">
        <v>70</v>
      </c>
      <c r="B67" s="25">
        <v>2.0</v>
      </c>
      <c r="C67" s="25">
        <v>12.0</v>
      </c>
      <c r="D67" s="26">
        <v>1100.0</v>
      </c>
      <c r="E67" s="27">
        <f t="shared" ref="E67:E77" si="1">D67*C67*B67</f>
        <v>26400</v>
      </c>
    </row>
    <row r="68" ht="15.75" customHeight="1">
      <c r="A68" s="13" t="s">
        <v>71</v>
      </c>
      <c r="B68" s="25">
        <v>1.0</v>
      </c>
      <c r="C68" s="25">
        <v>12.0</v>
      </c>
      <c r="D68" s="26">
        <v>1400.0</v>
      </c>
      <c r="E68" s="27">
        <f t="shared" si="1"/>
        <v>16800</v>
      </c>
    </row>
    <row r="69" ht="15.75" customHeight="1">
      <c r="A69" s="13" t="s">
        <v>72</v>
      </c>
      <c r="B69" s="25">
        <v>2.0</v>
      </c>
      <c r="C69" s="28">
        <f t="shared" ref="C69:C72" si="2">$B$4</f>
        <v>5</v>
      </c>
      <c r="D69" s="26">
        <v>1250.0</v>
      </c>
      <c r="E69" s="27">
        <f t="shared" si="1"/>
        <v>12500</v>
      </c>
    </row>
    <row r="70" ht="15.75" customHeight="1">
      <c r="A70" s="13" t="s">
        <v>73</v>
      </c>
      <c r="B70" s="25">
        <v>3.0</v>
      </c>
      <c r="C70" s="28">
        <f t="shared" si="2"/>
        <v>5</v>
      </c>
      <c r="D70" s="26">
        <v>1000.0</v>
      </c>
      <c r="E70" s="27">
        <f t="shared" si="1"/>
        <v>15000</v>
      </c>
    </row>
    <row r="71" ht="15.75" customHeight="1">
      <c r="A71" s="13" t="s">
        <v>74</v>
      </c>
      <c r="B71" s="25">
        <v>2.0</v>
      </c>
      <c r="C71" s="28">
        <f t="shared" si="2"/>
        <v>5</v>
      </c>
      <c r="D71" s="26">
        <v>1000.0</v>
      </c>
      <c r="E71" s="27">
        <f t="shared" si="1"/>
        <v>10000</v>
      </c>
    </row>
    <row r="72" ht="15.75" customHeight="1">
      <c r="A72" s="13" t="s">
        <v>75</v>
      </c>
      <c r="B72" s="25">
        <v>1.0</v>
      </c>
      <c r="C72" s="28">
        <f t="shared" si="2"/>
        <v>5</v>
      </c>
      <c r="D72" s="26">
        <v>1000.0</v>
      </c>
      <c r="E72" s="27">
        <f t="shared" si="1"/>
        <v>5000</v>
      </c>
    </row>
    <row r="73" ht="15.75" customHeight="1">
      <c r="A73" s="13" t="s">
        <v>76</v>
      </c>
      <c r="B73" s="25">
        <v>2.0</v>
      </c>
      <c r="C73" s="25">
        <v>12.0</v>
      </c>
      <c r="D73" s="26">
        <v>1000.0</v>
      </c>
      <c r="E73" s="27">
        <f t="shared" si="1"/>
        <v>24000</v>
      </c>
    </row>
    <row r="74" ht="15.75" customHeight="1">
      <c r="A74" s="13" t="s">
        <v>77</v>
      </c>
      <c r="B74" s="25">
        <v>1.0</v>
      </c>
      <c r="C74" s="25">
        <v>12.0</v>
      </c>
      <c r="D74" s="26">
        <v>1000.0</v>
      </c>
      <c r="E74" s="27">
        <f t="shared" si="1"/>
        <v>12000</v>
      </c>
    </row>
    <row r="75" ht="15.75" customHeight="1">
      <c r="A75" s="13" t="s">
        <v>78</v>
      </c>
      <c r="B75" s="25">
        <v>2.0</v>
      </c>
      <c r="C75" s="25">
        <v>12.0</v>
      </c>
      <c r="D75" s="26">
        <v>1000.0</v>
      </c>
      <c r="E75" s="27">
        <f t="shared" si="1"/>
        <v>24000</v>
      </c>
    </row>
    <row r="76" ht="15.75" customHeight="1">
      <c r="A76" s="13" t="s">
        <v>79</v>
      </c>
      <c r="B76" s="25">
        <v>1.0</v>
      </c>
      <c r="C76" s="25">
        <v>12.0</v>
      </c>
      <c r="D76" s="26">
        <v>1800.0</v>
      </c>
      <c r="E76" s="27">
        <f t="shared" si="1"/>
        <v>21600</v>
      </c>
    </row>
    <row r="77" ht="15.75" customHeight="1">
      <c r="A77" s="13" t="s">
        <v>80</v>
      </c>
      <c r="B77" s="25">
        <v>0.5</v>
      </c>
      <c r="C77" s="25">
        <v>12.0</v>
      </c>
      <c r="D77" s="26">
        <v>1600.0</v>
      </c>
      <c r="E77" s="27">
        <f t="shared" si="1"/>
        <v>9600</v>
      </c>
    </row>
    <row r="78" ht="15.75" customHeight="1">
      <c r="B78" s="28"/>
      <c r="C78" s="28"/>
      <c r="D78" s="27"/>
      <c r="E78" s="27"/>
    </row>
    <row r="79" ht="15.75" customHeight="1">
      <c r="B79" s="28">
        <f t="shared" ref="B79:C79" si="3">SUM(B67:B77)</f>
        <v>17.5</v>
      </c>
      <c r="C79" s="28">
        <f t="shared" si="3"/>
        <v>104</v>
      </c>
      <c r="D79" s="27"/>
      <c r="E79" s="27">
        <f>SUM(E67:E77)</f>
        <v>176900</v>
      </c>
    </row>
    <row r="80" ht="15.75" customHeight="1">
      <c r="A80" s="5" t="s">
        <v>81</v>
      </c>
      <c r="B80" s="29">
        <v>0.2375</v>
      </c>
      <c r="C80" s="5" t="s">
        <v>24</v>
      </c>
      <c r="E80" s="30">
        <f>E79+E79*B80</f>
        <v>218913.75</v>
      </c>
    </row>
    <row r="81" ht="15.75" customHeight="1"/>
    <row r="82" ht="15.75" customHeight="1"/>
    <row r="83" ht="15.75" customHeight="1"/>
    <row r="85">
      <c r="A85" s="4" t="s">
        <v>82</v>
      </c>
    </row>
    <row r="86">
      <c r="A86" s="5" t="s">
        <v>83</v>
      </c>
      <c r="B86" s="11">
        <v>14766.0</v>
      </c>
      <c r="C86" s="5"/>
    </row>
    <row r="87">
      <c r="A87" s="8" t="s">
        <v>84</v>
      </c>
      <c r="B87" s="6">
        <v>6400.0</v>
      </c>
      <c r="C87" s="5"/>
    </row>
    <row r="88">
      <c r="A88" s="5" t="s">
        <v>85</v>
      </c>
      <c r="B88" s="6">
        <v>4840.0</v>
      </c>
      <c r="C88" s="5"/>
    </row>
    <row r="89">
      <c r="A89" s="8" t="s">
        <v>86</v>
      </c>
      <c r="B89" s="31">
        <f>B86*0.2-1660</f>
        <v>1293.2</v>
      </c>
      <c r="C89" s="5"/>
    </row>
    <row r="90">
      <c r="A90" s="8" t="s">
        <v>87</v>
      </c>
      <c r="B90" s="6">
        <f>B86/4</f>
        <v>3691.5</v>
      </c>
      <c r="C90" s="5"/>
      <c r="D90" s="13" t="s">
        <v>88</v>
      </c>
    </row>
    <row r="91">
      <c r="A91" s="8" t="s">
        <v>89</v>
      </c>
      <c r="B91" s="31">
        <f>B86-B88-B89-B90</f>
        <v>4941.3</v>
      </c>
      <c r="C91" s="5"/>
    </row>
    <row r="92">
      <c r="A92" s="8" t="s">
        <v>90</v>
      </c>
      <c r="B92" s="31">
        <f>B91+15768</f>
        <v>20709.3</v>
      </c>
      <c r="C92" s="5"/>
    </row>
    <row r="93">
      <c r="A93" s="5" t="s">
        <v>91</v>
      </c>
      <c r="B93" s="32">
        <f>B88/B86</f>
        <v>0.3277800352</v>
      </c>
      <c r="C93" s="5" t="s">
        <v>24</v>
      </c>
    </row>
    <row r="94" ht="15.75" customHeight="1">
      <c r="A94" s="13" t="s">
        <v>92</v>
      </c>
      <c r="B94" s="33">
        <f t="shared" ref="B94:B95" si="4">420 * B91 + ((32000461777723 + 2 * -11680057722 * $B$87) / (2 * $B$87^2)) - ((32000461777723 + 2 * -11680057722 * ($B$87 + B91)) / (2 * ($B$87 + B91)^2))</f>
        <v>1546442.682</v>
      </c>
      <c r="D94" s="13" t="s">
        <v>93</v>
      </c>
    </row>
    <row r="95" ht="15.75" customHeight="1">
      <c r="A95" s="13" t="s">
        <v>94</v>
      </c>
      <c r="B95" s="33">
        <f t="shared" si="4"/>
        <v>7672606.637</v>
      </c>
    </row>
    <row r="96" ht="15.75" customHeight="1">
      <c r="A96" s="34" t="s">
        <v>95</v>
      </c>
      <c r="B96" s="35">
        <f>'Debt Stack'!H52+sum( 'Cash Flow (+cohousing)'!B21:F22)</f>
        <v>7705184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57"/>
    <col customWidth="1" min="2" max="17" width="22.71"/>
  </cols>
  <sheetData>
    <row r="1">
      <c r="A1" s="36" t="s">
        <v>96</v>
      </c>
      <c r="B1" s="37"/>
      <c r="C1" s="37"/>
      <c r="D1" s="37"/>
      <c r="E1" s="37"/>
      <c r="F1" s="37"/>
      <c r="G1" s="37"/>
      <c r="H1" s="38"/>
      <c r="I1" s="38"/>
      <c r="J1" s="38"/>
      <c r="K1" s="38"/>
      <c r="L1" s="38"/>
      <c r="M1" s="38"/>
      <c r="N1" s="38"/>
      <c r="O1" s="38"/>
      <c r="P1" s="38"/>
      <c r="Q1" s="38"/>
    </row>
    <row r="2">
      <c r="A2" s="39"/>
      <c r="B2" s="39"/>
      <c r="C2" s="39"/>
      <c r="D2" s="39"/>
      <c r="E2" s="39"/>
      <c r="F2" s="39"/>
      <c r="G2" s="39"/>
      <c r="H2" s="40"/>
      <c r="I2" s="40"/>
      <c r="J2" s="40"/>
      <c r="K2" s="40"/>
      <c r="L2" s="40"/>
      <c r="M2" s="40"/>
      <c r="N2" s="40"/>
      <c r="O2" s="40"/>
      <c r="P2" s="40"/>
      <c r="Q2" s="40"/>
    </row>
    <row r="3">
      <c r="A3" s="41" t="s">
        <v>97</v>
      </c>
      <c r="B3" s="41" t="s">
        <v>98</v>
      </c>
      <c r="C3" s="41" t="s">
        <v>99</v>
      </c>
      <c r="D3" s="41" t="s">
        <v>100</v>
      </c>
      <c r="E3" s="41" t="s">
        <v>101</v>
      </c>
      <c r="F3" s="41" t="s">
        <v>102</v>
      </c>
      <c r="G3" s="41" t="s">
        <v>103</v>
      </c>
      <c r="H3" s="42"/>
      <c r="I3" s="42"/>
      <c r="J3" s="42"/>
      <c r="K3" s="42"/>
      <c r="L3" s="42"/>
      <c r="M3" s="42"/>
      <c r="N3" s="42"/>
      <c r="O3" s="42"/>
      <c r="P3" s="42"/>
      <c r="Q3" s="42"/>
    </row>
    <row r="4">
      <c r="A4" s="43" t="s">
        <v>104</v>
      </c>
      <c r="B4" s="44">
        <v>700000.0</v>
      </c>
      <c r="C4" s="45">
        <v>0.045</v>
      </c>
      <c r="D4" s="43">
        <v>15.0</v>
      </c>
      <c r="E4" s="43" t="s">
        <v>105</v>
      </c>
      <c r="F4" s="43" t="s">
        <v>106</v>
      </c>
      <c r="G4" s="43" t="s">
        <v>107</v>
      </c>
      <c r="H4" s="46"/>
      <c r="I4" s="46"/>
      <c r="J4" s="46"/>
      <c r="K4" s="46"/>
      <c r="L4" s="46"/>
      <c r="M4" s="46"/>
      <c r="N4" s="46"/>
      <c r="O4" s="46"/>
      <c r="P4" s="46"/>
      <c r="Q4" s="46"/>
    </row>
    <row r="5">
      <c r="A5" s="47" t="s">
        <v>108</v>
      </c>
      <c r="B5" s="48">
        <v>400000.0</v>
      </c>
      <c r="C5" s="49">
        <v>0.07</v>
      </c>
      <c r="D5" s="47">
        <v>4.0</v>
      </c>
      <c r="E5" s="47" t="s">
        <v>109</v>
      </c>
      <c r="F5" s="47" t="s">
        <v>110</v>
      </c>
      <c r="G5" s="50">
        <v>0.6</v>
      </c>
      <c r="H5" s="51"/>
      <c r="I5" s="51"/>
      <c r="J5" s="51"/>
      <c r="K5" s="51"/>
      <c r="L5" s="51"/>
      <c r="M5" s="51"/>
      <c r="N5" s="51"/>
      <c r="O5" s="51"/>
      <c r="P5" s="51"/>
      <c r="Q5" s="51"/>
    </row>
    <row r="6">
      <c r="A6" s="52" t="s">
        <v>111</v>
      </c>
      <c r="B6" s="53">
        <v>450000.0</v>
      </c>
      <c r="C6" s="54">
        <v>0.05</v>
      </c>
      <c r="D6" s="52">
        <v>4.0</v>
      </c>
      <c r="E6" s="52" t="s">
        <v>109</v>
      </c>
      <c r="F6" s="52" t="s">
        <v>110</v>
      </c>
      <c r="G6" s="55">
        <v>0.3</v>
      </c>
      <c r="H6" s="51"/>
      <c r="I6" s="51"/>
      <c r="J6" s="51"/>
      <c r="K6" s="51"/>
      <c r="L6" s="51"/>
      <c r="M6" s="51"/>
      <c r="N6" s="51"/>
      <c r="O6" s="51"/>
      <c r="P6" s="51"/>
      <c r="Q6" s="51"/>
    </row>
    <row r="7">
      <c r="A7" s="56" t="s">
        <v>112</v>
      </c>
      <c r="B7" s="57">
        <v>500000.0</v>
      </c>
      <c r="C7" s="58">
        <v>0.02</v>
      </c>
      <c r="D7" s="56">
        <v>4.0</v>
      </c>
      <c r="E7" s="56" t="s">
        <v>109</v>
      </c>
      <c r="F7" s="56" t="s">
        <v>110</v>
      </c>
      <c r="G7" s="59">
        <v>0.9</v>
      </c>
      <c r="H7" s="51"/>
      <c r="I7" s="51"/>
      <c r="J7" s="51"/>
      <c r="K7" s="51"/>
      <c r="L7" s="51"/>
      <c r="M7" s="51"/>
      <c r="N7" s="51"/>
      <c r="O7" s="51"/>
      <c r="P7" s="51"/>
      <c r="Q7" s="51"/>
    </row>
    <row r="8">
      <c r="A8" s="60" t="s">
        <v>113</v>
      </c>
      <c r="B8" s="61">
        <f>SUM(B4:B7)</f>
        <v>2050000</v>
      </c>
      <c r="C8" s="62"/>
      <c r="D8" s="62"/>
      <c r="E8" s="62"/>
      <c r="F8" s="62"/>
      <c r="G8" s="62"/>
      <c r="H8" s="63"/>
      <c r="I8" s="63"/>
      <c r="J8" s="63"/>
      <c r="K8" s="63"/>
      <c r="L8" s="63"/>
      <c r="M8" s="63"/>
      <c r="N8" s="63"/>
      <c r="O8" s="63"/>
      <c r="P8" s="63"/>
      <c r="Q8" s="63"/>
    </row>
    <row r="9">
      <c r="A9" s="64"/>
      <c r="B9" s="64"/>
      <c r="C9" s="64"/>
      <c r="D9" s="64"/>
      <c r="E9" s="64"/>
      <c r="F9" s="64"/>
      <c r="G9" s="64"/>
      <c r="H9" s="38"/>
      <c r="I9" s="38"/>
      <c r="J9" s="38"/>
      <c r="K9" s="38"/>
      <c r="L9" s="38"/>
      <c r="M9" s="38"/>
      <c r="N9" s="38"/>
      <c r="O9" s="38"/>
      <c r="P9" s="38"/>
      <c r="Q9" s="38"/>
    </row>
    <row r="10">
      <c r="A10" s="41" t="s">
        <v>114</v>
      </c>
      <c r="B10" s="41" t="s">
        <v>98</v>
      </c>
      <c r="C10" s="41" t="s">
        <v>115</v>
      </c>
      <c r="D10" s="65"/>
      <c r="E10" s="37"/>
      <c r="F10" s="37"/>
      <c r="G10" s="37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>
      <c r="A11" s="47" t="s">
        <v>116</v>
      </c>
      <c r="B11" s="48">
        <v>50000.0</v>
      </c>
      <c r="C11" s="66">
        <v>46082.0</v>
      </c>
      <c r="D11" s="67"/>
      <c r="E11" s="68"/>
      <c r="F11" s="68"/>
      <c r="G11" s="68"/>
      <c r="H11" s="40"/>
      <c r="I11" s="40"/>
      <c r="J11" s="40"/>
      <c r="K11" s="40"/>
      <c r="L11" s="40"/>
      <c r="M11" s="40"/>
      <c r="N11" s="40"/>
      <c r="O11" s="40"/>
      <c r="P11" s="40"/>
      <c r="Q11" s="40"/>
    </row>
    <row r="12">
      <c r="A12" s="47" t="s">
        <v>116</v>
      </c>
      <c r="B12" s="48">
        <f>50000*6</f>
        <v>300000</v>
      </c>
      <c r="C12" s="66">
        <v>46752.0</v>
      </c>
      <c r="D12" s="65"/>
      <c r="E12" s="37"/>
      <c r="F12" s="37"/>
      <c r="G12" s="37"/>
      <c r="H12" s="38"/>
      <c r="I12" s="38"/>
      <c r="J12" s="38"/>
      <c r="K12" s="38"/>
      <c r="L12" s="38"/>
      <c r="M12" s="38"/>
      <c r="N12" s="38"/>
      <c r="O12" s="38"/>
      <c r="P12" s="38"/>
      <c r="Q12" s="38"/>
    </row>
    <row r="13">
      <c r="A13" s="47" t="s">
        <v>116</v>
      </c>
      <c r="B13" s="48">
        <v>50000.0</v>
      </c>
      <c r="C13" s="66">
        <v>47118.0</v>
      </c>
      <c r="D13" s="65"/>
      <c r="E13" s="37"/>
      <c r="F13" s="37"/>
      <c r="G13" s="37"/>
      <c r="H13" s="38"/>
      <c r="I13" s="38"/>
      <c r="J13" s="38"/>
      <c r="K13" s="38"/>
      <c r="L13" s="38"/>
      <c r="M13" s="38"/>
      <c r="N13" s="38"/>
      <c r="O13" s="38"/>
      <c r="P13" s="38"/>
      <c r="Q13" s="38"/>
    </row>
    <row r="14">
      <c r="A14" s="69" t="s">
        <v>117</v>
      </c>
      <c r="B14" s="70">
        <v>30000.0</v>
      </c>
      <c r="C14" s="66">
        <v>46752.0</v>
      </c>
      <c r="D14" s="71"/>
      <c r="E14" s="37"/>
      <c r="F14" s="37"/>
      <c r="G14" s="37"/>
      <c r="H14" s="38"/>
      <c r="I14" s="38"/>
      <c r="J14" s="38"/>
      <c r="K14" s="38"/>
      <c r="L14" s="38"/>
      <c r="M14" s="38"/>
      <c r="N14" s="38"/>
      <c r="O14" s="38"/>
      <c r="P14" s="38"/>
      <c r="Q14" s="38"/>
    </row>
    <row r="15">
      <c r="A15" s="72"/>
      <c r="B15" s="72"/>
      <c r="C15" s="68"/>
      <c r="D15" s="68"/>
      <c r="E15" s="68"/>
      <c r="F15" s="68"/>
      <c r="G15" s="68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>
      <c r="A16" s="73" t="s">
        <v>118</v>
      </c>
      <c r="B16" s="39"/>
      <c r="C16" s="39"/>
      <c r="D16" s="39"/>
      <c r="E16" s="39"/>
      <c r="F16" s="39"/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7">
      <c r="A17" s="74"/>
      <c r="B17" s="41">
        <v>2025.0</v>
      </c>
      <c r="C17" s="41">
        <v>2026.0</v>
      </c>
      <c r="D17" s="41">
        <v>2027.0</v>
      </c>
      <c r="E17" s="41">
        <v>2028.0</v>
      </c>
      <c r="F17" s="41">
        <v>2029.0</v>
      </c>
      <c r="G17" s="41">
        <v>2030.0</v>
      </c>
      <c r="H17" s="41">
        <v>2031.0</v>
      </c>
      <c r="I17" s="41">
        <v>2032.0</v>
      </c>
      <c r="J17" s="41">
        <v>2033.0</v>
      </c>
      <c r="K17" s="41">
        <v>2034.0</v>
      </c>
      <c r="L17" s="41">
        <v>2035.0</v>
      </c>
      <c r="M17" s="41">
        <v>2036.0</v>
      </c>
      <c r="N17" s="41">
        <v>2037.0</v>
      </c>
      <c r="O17" s="41">
        <v>2038.0</v>
      </c>
      <c r="P17" s="41">
        <v>2039.0</v>
      </c>
      <c r="Q17" s="41">
        <v>2040.0</v>
      </c>
    </row>
    <row r="18">
      <c r="A18" s="75" t="s">
        <v>119</v>
      </c>
      <c r="B18" s="76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</row>
    <row r="19">
      <c r="A19" s="78" t="s">
        <v>120</v>
      </c>
      <c r="B19" s="79">
        <v>0.0</v>
      </c>
      <c r="C19" s="80">
        <v>700000.0</v>
      </c>
      <c r="D19" s="81">
        <f t="shared" ref="D19:Q19" si="1">C22</f>
        <v>653333.3333</v>
      </c>
      <c r="E19" s="81">
        <f t="shared" si="1"/>
        <v>606666.6667</v>
      </c>
      <c r="F19" s="81">
        <f t="shared" si="1"/>
        <v>560000</v>
      </c>
      <c r="G19" s="81">
        <f t="shared" si="1"/>
        <v>513333.3333</v>
      </c>
      <c r="H19" s="81">
        <f t="shared" si="1"/>
        <v>466666.6667</v>
      </c>
      <c r="I19" s="81">
        <f t="shared" si="1"/>
        <v>420000</v>
      </c>
      <c r="J19" s="81">
        <f t="shared" si="1"/>
        <v>373333.3333</v>
      </c>
      <c r="K19" s="81">
        <f t="shared" si="1"/>
        <v>326666.6667</v>
      </c>
      <c r="L19" s="81">
        <f t="shared" si="1"/>
        <v>280000</v>
      </c>
      <c r="M19" s="81">
        <f t="shared" si="1"/>
        <v>233333.3333</v>
      </c>
      <c r="N19" s="81">
        <f t="shared" si="1"/>
        <v>186666.6667</v>
      </c>
      <c r="O19" s="81">
        <f t="shared" si="1"/>
        <v>140000</v>
      </c>
      <c r="P19" s="81">
        <f t="shared" si="1"/>
        <v>93333.33333</v>
      </c>
      <c r="Q19" s="81">
        <f t="shared" si="1"/>
        <v>46666.66667</v>
      </c>
    </row>
    <row r="20">
      <c r="A20" s="82" t="s">
        <v>121</v>
      </c>
      <c r="B20" s="79">
        <v>0.0</v>
      </c>
      <c r="C20" s="81">
        <f t="shared" ref="C20:Q20" si="2">-$B$4 / 15</f>
        <v>-46666.66667</v>
      </c>
      <c r="D20" s="81">
        <f t="shared" si="2"/>
        <v>-46666.66667</v>
      </c>
      <c r="E20" s="81">
        <f t="shared" si="2"/>
        <v>-46666.66667</v>
      </c>
      <c r="F20" s="81">
        <f t="shared" si="2"/>
        <v>-46666.66667</v>
      </c>
      <c r="G20" s="81">
        <f t="shared" si="2"/>
        <v>-46666.66667</v>
      </c>
      <c r="H20" s="81">
        <f t="shared" si="2"/>
        <v>-46666.66667</v>
      </c>
      <c r="I20" s="81">
        <f t="shared" si="2"/>
        <v>-46666.66667</v>
      </c>
      <c r="J20" s="81">
        <f t="shared" si="2"/>
        <v>-46666.66667</v>
      </c>
      <c r="K20" s="81">
        <f t="shared" si="2"/>
        <v>-46666.66667</v>
      </c>
      <c r="L20" s="81">
        <f t="shared" si="2"/>
        <v>-46666.66667</v>
      </c>
      <c r="M20" s="81">
        <f t="shared" si="2"/>
        <v>-46666.66667</v>
      </c>
      <c r="N20" s="81">
        <f t="shared" si="2"/>
        <v>-46666.66667</v>
      </c>
      <c r="O20" s="81">
        <f t="shared" si="2"/>
        <v>-46666.66667</v>
      </c>
      <c r="P20" s="81">
        <f t="shared" si="2"/>
        <v>-46666.66667</v>
      </c>
      <c r="Q20" s="81">
        <f t="shared" si="2"/>
        <v>-46666.66667</v>
      </c>
    </row>
    <row r="21">
      <c r="A21" s="82" t="s">
        <v>122</v>
      </c>
      <c r="B21" s="79">
        <v>0.0</v>
      </c>
      <c r="C21" s="80">
        <f t="shared" ref="C21:Q21" si="3">-C19*$C$4 </f>
        <v>-31500</v>
      </c>
      <c r="D21" s="80">
        <f t="shared" si="3"/>
        <v>-29400</v>
      </c>
      <c r="E21" s="80">
        <f t="shared" si="3"/>
        <v>-27300</v>
      </c>
      <c r="F21" s="80">
        <f t="shared" si="3"/>
        <v>-25200</v>
      </c>
      <c r="G21" s="80">
        <f t="shared" si="3"/>
        <v>-23100</v>
      </c>
      <c r="H21" s="80">
        <f t="shared" si="3"/>
        <v>-21000</v>
      </c>
      <c r="I21" s="80">
        <f t="shared" si="3"/>
        <v>-18900</v>
      </c>
      <c r="J21" s="80">
        <f t="shared" si="3"/>
        <v>-16800</v>
      </c>
      <c r="K21" s="80">
        <f t="shared" si="3"/>
        <v>-14700</v>
      </c>
      <c r="L21" s="80">
        <f t="shared" si="3"/>
        <v>-12600</v>
      </c>
      <c r="M21" s="80">
        <f t="shared" si="3"/>
        <v>-10500</v>
      </c>
      <c r="N21" s="80">
        <f t="shared" si="3"/>
        <v>-8400</v>
      </c>
      <c r="O21" s="80">
        <f t="shared" si="3"/>
        <v>-6300</v>
      </c>
      <c r="P21" s="80">
        <f t="shared" si="3"/>
        <v>-4200</v>
      </c>
      <c r="Q21" s="80">
        <f t="shared" si="3"/>
        <v>-2100</v>
      </c>
    </row>
    <row r="22">
      <c r="A22" s="78" t="s">
        <v>123</v>
      </c>
      <c r="B22" s="79">
        <v>0.0</v>
      </c>
      <c r="C22" s="80">
        <f t="shared" ref="C22:Q22" si="4">C19+C20</f>
        <v>653333.3333</v>
      </c>
      <c r="D22" s="80">
        <f t="shared" si="4"/>
        <v>606666.6667</v>
      </c>
      <c r="E22" s="80">
        <f t="shared" si="4"/>
        <v>560000</v>
      </c>
      <c r="F22" s="80">
        <f t="shared" si="4"/>
        <v>513333.3333</v>
      </c>
      <c r="G22" s="80">
        <f t="shared" si="4"/>
        <v>466666.6667</v>
      </c>
      <c r="H22" s="80">
        <f t="shared" si="4"/>
        <v>420000</v>
      </c>
      <c r="I22" s="80">
        <f t="shared" si="4"/>
        <v>373333.3333</v>
      </c>
      <c r="J22" s="80">
        <f t="shared" si="4"/>
        <v>326666.6667</v>
      </c>
      <c r="K22" s="80">
        <f t="shared" si="4"/>
        <v>280000</v>
      </c>
      <c r="L22" s="80">
        <f t="shared" si="4"/>
        <v>233333.3333</v>
      </c>
      <c r="M22" s="80">
        <f t="shared" si="4"/>
        <v>186666.6667</v>
      </c>
      <c r="N22" s="80">
        <f t="shared" si="4"/>
        <v>140000</v>
      </c>
      <c r="O22" s="80">
        <f t="shared" si="4"/>
        <v>93333.33333</v>
      </c>
      <c r="P22" s="80">
        <f t="shared" si="4"/>
        <v>46666.66667</v>
      </c>
      <c r="Q22" s="80">
        <f t="shared" si="4"/>
        <v>0</v>
      </c>
    </row>
    <row r="23">
      <c r="A23" s="83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</row>
    <row r="24">
      <c r="A24" s="85" t="s">
        <v>108</v>
      </c>
      <c r="B24" s="86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</row>
    <row r="25">
      <c r="A25" s="78" t="s">
        <v>120</v>
      </c>
      <c r="B25" s="81">
        <f>B5-B14</f>
        <v>370000</v>
      </c>
      <c r="C25" s="80">
        <f t="shared" ref="C25:Q25" si="5">B29</f>
        <v>363111</v>
      </c>
      <c r="D25" s="80">
        <f t="shared" si="5"/>
        <v>258528.77</v>
      </c>
      <c r="E25" s="80">
        <f t="shared" si="5"/>
        <v>226625.7839</v>
      </c>
      <c r="F25" s="80">
        <f t="shared" si="5"/>
        <v>0</v>
      </c>
      <c r="G25" s="80">
        <f t="shared" si="5"/>
        <v>0</v>
      </c>
      <c r="H25" s="80">
        <f t="shared" si="5"/>
        <v>0</v>
      </c>
      <c r="I25" s="80">
        <f t="shared" si="5"/>
        <v>0</v>
      </c>
      <c r="J25" s="80">
        <f t="shared" si="5"/>
        <v>0</v>
      </c>
      <c r="K25" s="80">
        <f t="shared" si="5"/>
        <v>0</v>
      </c>
      <c r="L25" s="80">
        <f t="shared" si="5"/>
        <v>0</v>
      </c>
      <c r="M25" s="80">
        <f t="shared" si="5"/>
        <v>0</v>
      </c>
      <c r="N25" s="80">
        <f t="shared" si="5"/>
        <v>0</v>
      </c>
      <c r="O25" s="80">
        <f t="shared" si="5"/>
        <v>0</v>
      </c>
      <c r="P25" s="80">
        <f t="shared" si="5"/>
        <v>0</v>
      </c>
      <c r="Q25" s="80">
        <f t="shared" si="5"/>
        <v>0</v>
      </c>
    </row>
    <row r="26">
      <c r="A26" s="78" t="s">
        <v>124</v>
      </c>
      <c r="B26" s="79">
        <f t="shared" ref="B26:Q26" si="6">B25*$C$5 </f>
        <v>25900</v>
      </c>
      <c r="C26" s="79">
        <f t="shared" si="6"/>
        <v>25417.77</v>
      </c>
      <c r="D26" s="79">
        <f t="shared" si="6"/>
        <v>18097.0139</v>
      </c>
      <c r="E26" s="79">
        <f t="shared" si="6"/>
        <v>15863.80487</v>
      </c>
      <c r="F26" s="79">
        <f t="shared" si="6"/>
        <v>0</v>
      </c>
      <c r="G26" s="79">
        <f t="shared" si="6"/>
        <v>0</v>
      </c>
      <c r="H26" s="79">
        <f t="shared" si="6"/>
        <v>0</v>
      </c>
      <c r="I26" s="79">
        <f t="shared" si="6"/>
        <v>0</v>
      </c>
      <c r="J26" s="79">
        <f t="shared" si="6"/>
        <v>0</v>
      </c>
      <c r="K26" s="79">
        <f t="shared" si="6"/>
        <v>0</v>
      </c>
      <c r="L26" s="79">
        <f t="shared" si="6"/>
        <v>0</v>
      </c>
      <c r="M26" s="79">
        <f t="shared" si="6"/>
        <v>0</v>
      </c>
      <c r="N26" s="79">
        <f t="shared" si="6"/>
        <v>0</v>
      </c>
      <c r="O26" s="79">
        <f t="shared" si="6"/>
        <v>0</v>
      </c>
      <c r="P26" s="79">
        <f t="shared" si="6"/>
        <v>0</v>
      </c>
      <c r="Q26" s="79">
        <f t="shared" si="6"/>
        <v>0</v>
      </c>
    </row>
    <row r="27">
      <c r="A27" s="78" t="s">
        <v>125</v>
      </c>
      <c r="B27" s="81">
        <v>-32600.0</v>
      </c>
      <c r="C27" s="88">
        <v>-80000.0</v>
      </c>
      <c r="D27" s="88">
        <v>-50000.0</v>
      </c>
      <c r="E27" s="88">
        <v>-30000.0</v>
      </c>
      <c r="F27" s="88">
        <v>0.0</v>
      </c>
      <c r="G27" s="88">
        <v>0.0</v>
      </c>
      <c r="H27" s="88">
        <v>0.0</v>
      </c>
      <c r="I27" s="88">
        <v>0.0</v>
      </c>
      <c r="J27" s="88">
        <v>0.0</v>
      </c>
      <c r="K27" s="88">
        <v>0.0</v>
      </c>
      <c r="L27" s="88">
        <v>0.0</v>
      </c>
      <c r="M27" s="88">
        <v>0.0</v>
      </c>
      <c r="N27" s="88">
        <v>0.0</v>
      </c>
      <c r="O27" s="88">
        <v>0.0</v>
      </c>
      <c r="P27" s="88">
        <v>0.0</v>
      </c>
      <c r="Q27" s="88">
        <v>0.0</v>
      </c>
    </row>
    <row r="28">
      <c r="A28" s="78" t="s">
        <v>126</v>
      </c>
      <c r="B28" s="81">
        <v>-189.00000000011642</v>
      </c>
      <c r="C28" s="81">
        <v>-50000.0</v>
      </c>
      <c r="D28" s="81">
        <v>0.0</v>
      </c>
      <c r="E28" s="81">
        <f>(E25+E26+E27)*-1</f>
        <v>-212489.5888</v>
      </c>
      <c r="F28" s="81">
        <v>0.0</v>
      </c>
      <c r="G28" s="81">
        <v>0.0</v>
      </c>
      <c r="H28" s="81">
        <v>0.0</v>
      </c>
      <c r="I28" s="81">
        <f>(I25+I26+I27)*-1</f>
        <v>0</v>
      </c>
      <c r="J28" s="81">
        <v>0.0</v>
      </c>
      <c r="K28" s="81">
        <v>0.0</v>
      </c>
      <c r="L28" s="81">
        <v>0.0</v>
      </c>
      <c r="M28" s="81">
        <f>(M25+M26+M27)*-1</f>
        <v>0</v>
      </c>
      <c r="N28" s="81">
        <v>0.0</v>
      </c>
      <c r="O28" s="81">
        <v>0.0</v>
      </c>
      <c r="P28" s="81">
        <v>0.0</v>
      </c>
      <c r="Q28" s="81">
        <f>(Q25+Q26+Q27)*-1</f>
        <v>0</v>
      </c>
    </row>
    <row r="29">
      <c r="A29" s="78" t="s">
        <v>123</v>
      </c>
      <c r="B29" s="81">
        <f t="shared" ref="B29:D29" si="7">SUM(B25:B28)</f>
        <v>363111</v>
      </c>
      <c r="C29" s="80">
        <f t="shared" si="7"/>
        <v>258528.77</v>
      </c>
      <c r="D29" s="80">
        <f t="shared" si="7"/>
        <v>226625.7839</v>
      </c>
      <c r="E29" s="80">
        <f>ROUND(SUM(E25:E28),0)</f>
        <v>0</v>
      </c>
      <c r="F29" s="80">
        <f t="shared" ref="F29:Q29" si="8">SUM(F25:F28)</f>
        <v>0</v>
      </c>
      <c r="G29" s="80">
        <f t="shared" si="8"/>
        <v>0</v>
      </c>
      <c r="H29" s="80">
        <f t="shared" si="8"/>
        <v>0</v>
      </c>
      <c r="I29" s="80">
        <f t="shared" si="8"/>
        <v>0</v>
      </c>
      <c r="J29" s="80">
        <f t="shared" si="8"/>
        <v>0</v>
      </c>
      <c r="K29" s="80">
        <f t="shared" si="8"/>
        <v>0</v>
      </c>
      <c r="L29" s="80">
        <f t="shared" si="8"/>
        <v>0</v>
      </c>
      <c r="M29" s="80">
        <f t="shared" si="8"/>
        <v>0</v>
      </c>
      <c r="N29" s="80">
        <f t="shared" si="8"/>
        <v>0</v>
      </c>
      <c r="O29" s="80">
        <f t="shared" si="8"/>
        <v>0</v>
      </c>
      <c r="P29" s="80">
        <f t="shared" si="8"/>
        <v>0</v>
      </c>
      <c r="Q29" s="80">
        <f t="shared" si="8"/>
        <v>0</v>
      </c>
    </row>
    <row r="30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>
      <c r="A31" s="89" t="s">
        <v>111</v>
      </c>
      <c r="B31" s="86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</row>
    <row r="32">
      <c r="A32" s="78" t="s">
        <v>120</v>
      </c>
      <c r="B32" s="79">
        <v>0.0</v>
      </c>
      <c r="C32" s="81">
        <f>B6</f>
        <v>450000</v>
      </c>
      <c r="D32" s="80">
        <f t="shared" ref="D32:Q32" si="9">C36</f>
        <v>472500</v>
      </c>
      <c r="E32" s="80">
        <f t="shared" si="9"/>
        <v>446125</v>
      </c>
      <c r="F32" s="80">
        <f t="shared" si="9"/>
        <v>393431.25</v>
      </c>
      <c r="G32" s="80">
        <f t="shared" si="9"/>
        <v>238102.8125</v>
      </c>
      <c r="H32" s="80">
        <f t="shared" si="9"/>
        <v>0</v>
      </c>
      <c r="I32" s="80">
        <f t="shared" si="9"/>
        <v>0</v>
      </c>
      <c r="J32" s="80">
        <f t="shared" si="9"/>
        <v>0</v>
      </c>
      <c r="K32" s="80">
        <f t="shared" si="9"/>
        <v>0</v>
      </c>
      <c r="L32" s="80">
        <f t="shared" si="9"/>
        <v>0</v>
      </c>
      <c r="M32" s="80">
        <f t="shared" si="9"/>
        <v>0</v>
      </c>
      <c r="N32" s="80">
        <f t="shared" si="9"/>
        <v>0</v>
      </c>
      <c r="O32" s="80">
        <f t="shared" si="9"/>
        <v>0</v>
      </c>
      <c r="P32" s="80">
        <f t="shared" si="9"/>
        <v>0</v>
      </c>
      <c r="Q32" s="80">
        <f t="shared" si="9"/>
        <v>0</v>
      </c>
    </row>
    <row r="33">
      <c r="A33" s="78" t="s">
        <v>124</v>
      </c>
      <c r="B33" s="79">
        <v>0.0</v>
      </c>
      <c r="C33" s="79">
        <f t="shared" ref="C33:Q33" si="10">C32*$C$6 </f>
        <v>22500</v>
      </c>
      <c r="D33" s="79">
        <f t="shared" si="10"/>
        <v>23625</v>
      </c>
      <c r="E33" s="79">
        <f t="shared" si="10"/>
        <v>22306.25</v>
      </c>
      <c r="F33" s="79">
        <f t="shared" si="10"/>
        <v>19671.5625</v>
      </c>
      <c r="G33" s="79">
        <f t="shared" si="10"/>
        <v>11905.14063</v>
      </c>
      <c r="H33" s="79">
        <f t="shared" si="10"/>
        <v>0</v>
      </c>
      <c r="I33" s="79">
        <f t="shared" si="10"/>
        <v>0</v>
      </c>
      <c r="J33" s="79">
        <f t="shared" si="10"/>
        <v>0</v>
      </c>
      <c r="K33" s="79">
        <f t="shared" si="10"/>
        <v>0</v>
      </c>
      <c r="L33" s="79">
        <f t="shared" si="10"/>
        <v>0</v>
      </c>
      <c r="M33" s="79">
        <f t="shared" si="10"/>
        <v>0</v>
      </c>
      <c r="N33" s="79">
        <f t="shared" si="10"/>
        <v>0</v>
      </c>
      <c r="O33" s="79">
        <f t="shared" si="10"/>
        <v>0</v>
      </c>
      <c r="P33" s="79">
        <f t="shared" si="10"/>
        <v>0</v>
      </c>
      <c r="Q33" s="79">
        <f t="shared" si="10"/>
        <v>0</v>
      </c>
    </row>
    <row r="34">
      <c r="A34" s="78" t="s">
        <v>125</v>
      </c>
      <c r="B34" s="79">
        <v>0.0</v>
      </c>
      <c r="C34" s="88">
        <v>0.0</v>
      </c>
      <c r="D34" s="88">
        <v>-50000.0</v>
      </c>
      <c r="E34" s="88">
        <v>-25000.0</v>
      </c>
      <c r="F34" s="88">
        <v>-25000.0</v>
      </c>
      <c r="G34" s="88">
        <v>0.0</v>
      </c>
      <c r="H34" s="88">
        <v>0.0</v>
      </c>
      <c r="I34" s="88">
        <v>0.0</v>
      </c>
      <c r="J34" s="88">
        <v>0.0</v>
      </c>
      <c r="K34" s="88">
        <v>0.0</v>
      </c>
      <c r="L34" s="88">
        <v>0.0</v>
      </c>
      <c r="M34" s="88">
        <v>0.0</v>
      </c>
      <c r="N34" s="88">
        <v>0.0</v>
      </c>
      <c r="O34" s="88">
        <v>0.0</v>
      </c>
      <c r="P34" s="88">
        <v>0.0</v>
      </c>
      <c r="Q34" s="88">
        <v>0.0</v>
      </c>
    </row>
    <row r="35">
      <c r="A35" s="78" t="s">
        <v>126</v>
      </c>
      <c r="B35" s="79">
        <v>0.0</v>
      </c>
      <c r="C35" s="79">
        <v>0.0</v>
      </c>
      <c r="D35" s="81">
        <v>0.0</v>
      </c>
      <c r="E35" s="81">
        <v>-50000.0</v>
      </c>
      <c r="F35" s="81">
        <v>-150000.0</v>
      </c>
      <c r="G35" s="81">
        <f>-(G32+G33)</f>
        <v>-250007.9531</v>
      </c>
      <c r="H35" s="81">
        <v>0.0</v>
      </c>
      <c r="I35" s="81">
        <v>0.0</v>
      </c>
      <c r="J35" s="81">
        <v>0.0</v>
      </c>
      <c r="K35" s="81">
        <v>0.0</v>
      </c>
      <c r="L35" s="81">
        <v>0.0</v>
      </c>
      <c r="M35" s="81">
        <v>0.0</v>
      </c>
      <c r="N35" s="81">
        <v>0.0</v>
      </c>
      <c r="O35" s="81">
        <v>0.0</v>
      </c>
      <c r="P35" s="81">
        <v>0.0</v>
      </c>
      <c r="Q35" s="81">
        <v>0.0</v>
      </c>
    </row>
    <row r="36">
      <c r="A36" s="78" t="s">
        <v>123</v>
      </c>
      <c r="B36" s="79">
        <v>0.0</v>
      </c>
      <c r="C36" s="81">
        <f t="shared" ref="C36:L36" si="11">SUM(C32:C35)</f>
        <v>472500</v>
      </c>
      <c r="D36" s="80">
        <f t="shared" si="11"/>
        <v>446125</v>
      </c>
      <c r="E36" s="80">
        <f t="shared" si="11"/>
        <v>393431.25</v>
      </c>
      <c r="F36" s="80">
        <f t="shared" si="11"/>
        <v>238102.8125</v>
      </c>
      <c r="G36" s="80">
        <f t="shared" si="11"/>
        <v>0</v>
      </c>
      <c r="H36" s="80">
        <f t="shared" si="11"/>
        <v>0</v>
      </c>
      <c r="I36" s="80">
        <f t="shared" si="11"/>
        <v>0</v>
      </c>
      <c r="J36" s="80">
        <f t="shared" si="11"/>
        <v>0</v>
      </c>
      <c r="K36" s="80">
        <f t="shared" si="11"/>
        <v>0</v>
      </c>
      <c r="L36" s="80">
        <f t="shared" si="11"/>
        <v>0</v>
      </c>
      <c r="M36" s="81">
        <v>0.0</v>
      </c>
      <c r="N36" s="80">
        <f t="shared" ref="N36:Q36" si="12">SUM(N32:N35)</f>
        <v>0</v>
      </c>
      <c r="O36" s="80">
        <f t="shared" si="12"/>
        <v>0</v>
      </c>
      <c r="P36" s="80">
        <f t="shared" si="12"/>
        <v>0</v>
      </c>
      <c r="Q36" s="80">
        <f t="shared" si="12"/>
        <v>0</v>
      </c>
    </row>
    <row r="37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</row>
    <row r="38">
      <c r="A38" s="90" t="s">
        <v>127</v>
      </c>
      <c r="B38" s="86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</row>
    <row r="39">
      <c r="A39" s="78" t="s">
        <v>120</v>
      </c>
      <c r="B39" s="79">
        <v>0.0</v>
      </c>
      <c r="C39" s="81">
        <v>500000.0</v>
      </c>
      <c r="D39" s="80">
        <f t="shared" ref="D39:Q39" si="13">C43</f>
        <v>460000</v>
      </c>
      <c r="E39" s="80">
        <f t="shared" si="13"/>
        <v>219200</v>
      </c>
      <c r="F39" s="80">
        <f t="shared" si="13"/>
        <v>0</v>
      </c>
      <c r="G39" s="80">
        <f t="shared" si="13"/>
        <v>0</v>
      </c>
      <c r="H39" s="80">
        <f t="shared" si="13"/>
        <v>0</v>
      </c>
      <c r="I39" s="80">
        <f t="shared" si="13"/>
        <v>0</v>
      </c>
      <c r="J39" s="80">
        <f t="shared" si="13"/>
        <v>0</v>
      </c>
      <c r="K39" s="80">
        <f t="shared" si="13"/>
        <v>0</v>
      </c>
      <c r="L39" s="80">
        <f t="shared" si="13"/>
        <v>0</v>
      </c>
      <c r="M39" s="80">
        <f t="shared" si="13"/>
        <v>0</v>
      </c>
      <c r="N39" s="80">
        <f t="shared" si="13"/>
        <v>0</v>
      </c>
      <c r="O39" s="80">
        <f t="shared" si="13"/>
        <v>0</v>
      </c>
      <c r="P39" s="80">
        <f t="shared" si="13"/>
        <v>0</v>
      </c>
      <c r="Q39" s="80">
        <f t="shared" si="13"/>
        <v>0</v>
      </c>
    </row>
    <row r="40">
      <c r="A40" s="78" t="s">
        <v>124</v>
      </c>
      <c r="B40" s="79">
        <v>0.0</v>
      </c>
      <c r="C40" s="79">
        <f t="shared" ref="C40:Q40" si="14">C39*$C$7 </f>
        <v>10000</v>
      </c>
      <c r="D40" s="79">
        <f t="shared" si="14"/>
        <v>9200</v>
      </c>
      <c r="E40" s="79">
        <f t="shared" si="14"/>
        <v>4384</v>
      </c>
      <c r="F40" s="79">
        <f t="shared" si="14"/>
        <v>0</v>
      </c>
      <c r="G40" s="79">
        <f t="shared" si="14"/>
        <v>0</v>
      </c>
      <c r="H40" s="79">
        <f t="shared" si="14"/>
        <v>0</v>
      </c>
      <c r="I40" s="79">
        <f t="shared" si="14"/>
        <v>0</v>
      </c>
      <c r="J40" s="79">
        <f t="shared" si="14"/>
        <v>0</v>
      </c>
      <c r="K40" s="79">
        <f t="shared" si="14"/>
        <v>0</v>
      </c>
      <c r="L40" s="79">
        <f t="shared" si="14"/>
        <v>0</v>
      </c>
      <c r="M40" s="79">
        <f t="shared" si="14"/>
        <v>0</v>
      </c>
      <c r="N40" s="79">
        <f t="shared" si="14"/>
        <v>0</v>
      </c>
      <c r="O40" s="79">
        <f t="shared" si="14"/>
        <v>0</v>
      </c>
      <c r="P40" s="79">
        <f t="shared" si="14"/>
        <v>0</v>
      </c>
      <c r="Q40" s="79">
        <f t="shared" si="14"/>
        <v>0</v>
      </c>
    </row>
    <row r="41">
      <c r="A41" s="78" t="s">
        <v>125</v>
      </c>
      <c r="B41" s="79">
        <v>0.0</v>
      </c>
      <c r="C41" s="88">
        <v>-50000.0</v>
      </c>
      <c r="D41" s="88">
        <v>-250000.0</v>
      </c>
      <c r="E41" s="88">
        <f>-(E40+E39)</f>
        <v>-223584</v>
      </c>
      <c r="F41" s="88">
        <v>0.0</v>
      </c>
      <c r="G41" s="88">
        <v>0.0</v>
      </c>
      <c r="H41" s="88">
        <v>0.0</v>
      </c>
      <c r="I41" s="88">
        <f>-(I40+I39)</f>
        <v>0</v>
      </c>
      <c r="J41" s="88">
        <v>0.0</v>
      </c>
      <c r="K41" s="88">
        <v>0.0</v>
      </c>
      <c r="L41" s="88">
        <v>0.0</v>
      </c>
      <c r="M41" s="88">
        <v>0.0</v>
      </c>
      <c r="N41" s="88">
        <v>0.0</v>
      </c>
      <c r="O41" s="88">
        <v>0.0</v>
      </c>
      <c r="P41" s="88">
        <v>0.0</v>
      </c>
      <c r="Q41" s="88">
        <v>0.0</v>
      </c>
    </row>
    <row r="42">
      <c r="A42" s="78" t="s">
        <v>126</v>
      </c>
      <c r="B42" s="79">
        <v>0.0</v>
      </c>
      <c r="C42" s="79">
        <v>0.0</v>
      </c>
      <c r="D42" s="81">
        <v>0.0</v>
      </c>
      <c r="E42" s="81">
        <v>0.0</v>
      </c>
      <c r="F42" s="81">
        <v>0.0</v>
      </c>
      <c r="G42" s="81">
        <v>0.0</v>
      </c>
      <c r="H42" s="81">
        <v>0.0</v>
      </c>
      <c r="I42" s="81">
        <v>0.0</v>
      </c>
      <c r="J42" s="81">
        <v>0.0</v>
      </c>
      <c r="K42" s="81">
        <v>0.0</v>
      </c>
      <c r="L42" s="81">
        <v>0.0</v>
      </c>
      <c r="M42" s="81">
        <v>0.0</v>
      </c>
      <c r="N42" s="81">
        <v>0.0</v>
      </c>
      <c r="O42" s="81">
        <v>0.0</v>
      </c>
      <c r="P42" s="81">
        <v>0.0</v>
      </c>
      <c r="Q42" s="81">
        <v>0.0</v>
      </c>
    </row>
    <row r="43">
      <c r="A43" s="78" t="s">
        <v>123</v>
      </c>
      <c r="B43" s="79">
        <v>0.0</v>
      </c>
      <c r="C43" s="81">
        <f t="shared" ref="C43:Q43" si="15">SUM(C39:C42)</f>
        <v>460000</v>
      </c>
      <c r="D43" s="80">
        <f t="shared" si="15"/>
        <v>219200</v>
      </c>
      <c r="E43" s="80">
        <f t="shared" si="15"/>
        <v>0</v>
      </c>
      <c r="F43" s="80">
        <f t="shared" si="15"/>
        <v>0</v>
      </c>
      <c r="G43" s="80">
        <f t="shared" si="15"/>
        <v>0</v>
      </c>
      <c r="H43" s="80">
        <f t="shared" si="15"/>
        <v>0</v>
      </c>
      <c r="I43" s="80">
        <f t="shared" si="15"/>
        <v>0</v>
      </c>
      <c r="J43" s="80">
        <f t="shared" si="15"/>
        <v>0</v>
      </c>
      <c r="K43" s="80">
        <f t="shared" si="15"/>
        <v>0</v>
      </c>
      <c r="L43" s="80">
        <f t="shared" si="15"/>
        <v>0</v>
      </c>
      <c r="M43" s="80">
        <f t="shared" si="15"/>
        <v>0</v>
      </c>
      <c r="N43" s="80">
        <f t="shared" si="15"/>
        <v>0</v>
      </c>
      <c r="O43" s="80">
        <f t="shared" si="15"/>
        <v>0</v>
      </c>
      <c r="P43" s="80">
        <f t="shared" si="15"/>
        <v>0</v>
      </c>
      <c r="Q43" s="80">
        <f t="shared" si="15"/>
        <v>0</v>
      </c>
    </row>
    <row r="44">
      <c r="A44" s="77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</row>
    <row r="45">
      <c r="A45" s="60" t="s">
        <v>128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</row>
    <row r="46">
      <c r="A46" s="93" t="s">
        <v>129</v>
      </c>
      <c r="B46" s="94">
        <f t="shared" ref="B46:Q46" si="16">B43+B36+B29+B22</f>
        <v>363111</v>
      </c>
      <c r="C46" s="94">
        <f t="shared" si="16"/>
        <v>1844362.103</v>
      </c>
      <c r="D46" s="94">
        <f t="shared" si="16"/>
        <v>1498617.451</v>
      </c>
      <c r="E46" s="94">
        <f t="shared" si="16"/>
        <v>953431.25</v>
      </c>
      <c r="F46" s="94">
        <f t="shared" si="16"/>
        <v>751436.1458</v>
      </c>
      <c r="G46" s="94">
        <f t="shared" si="16"/>
        <v>466666.6667</v>
      </c>
      <c r="H46" s="94">
        <f t="shared" si="16"/>
        <v>420000</v>
      </c>
      <c r="I46" s="94">
        <f t="shared" si="16"/>
        <v>373333.3333</v>
      </c>
      <c r="J46" s="94">
        <f t="shared" si="16"/>
        <v>326666.6667</v>
      </c>
      <c r="K46" s="94">
        <f t="shared" si="16"/>
        <v>280000</v>
      </c>
      <c r="L46" s="94">
        <f t="shared" si="16"/>
        <v>233333.3333</v>
      </c>
      <c r="M46" s="94">
        <f t="shared" si="16"/>
        <v>186666.6667</v>
      </c>
      <c r="N46" s="94">
        <f t="shared" si="16"/>
        <v>140000</v>
      </c>
      <c r="O46" s="94">
        <f t="shared" si="16"/>
        <v>93333.33333</v>
      </c>
      <c r="P46" s="94">
        <f t="shared" si="16"/>
        <v>46666.66667</v>
      </c>
      <c r="Q46" s="94">
        <f t="shared" si="16"/>
        <v>0</v>
      </c>
    </row>
    <row r="47">
      <c r="A47" s="93" t="s">
        <v>130</v>
      </c>
      <c r="B47" s="94">
        <f t="shared" ref="B47:Q47" si="17">B43+B36+B29</f>
        <v>363111</v>
      </c>
      <c r="C47" s="94">
        <f t="shared" si="17"/>
        <v>1191028.77</v>
      </c>
      <c r="D47" s="94">
        <f t="shared" si="17"/>
        <v>891950.7839</v>
      </c>
      <c r="E47" s="94">
        <f t="shared" si="17"/>
        <v>393431.25</v>
      </c>
      <c r="F47" s="94">
        <f t="shared" si="17"/>
        <v>238102.8125</v>
      </c>
      <c r="G47" s="94">
        <f t="shared" si="17"/>
        <v>0</v>
      </c>
      <c r="H47" s="94">
        <f t="shared" si="17"/>
        <v>0</v>
      </c>
      <c r="I47" s="94">
        <f t="shared" si="17"/>
        <v>0</v>
      </c>
      <c r="J47" s="94">
        <f t="shared" si="17"/>
        <v>0</v>
      </c>
      <c r="K47" s="94">
        <f t="shared" si="17"/>
        <v>0</v>
      </c>
      <c r="L47" s="94">
        <f t="shared" si="17"/>
        <v>0</v>
      </c>
      <c r="M47" s="94">
        <f t="shared" si="17"/>
        <v>0</v>
      </c>
      <c r="N47" s="94">
        <f t="shared" si="17"/>
        <v>0</v>
      </c>
      <c r="O47" s="94">
        <f t="shared" si="17"/>
        <v>0</v>
      </c>
      <c r="P47" s="94">
        <f t="shared" si="17"/>
        <v>0</v>
      </c>
      <c r="Q47" s="94">
        <f t="shared" si="17"/>
        <v>0</v>
      </c>
    </row>
    <row r="48">
      <c r="A48" s="93" t="s">
        <v>131</v>
      </c>
      <c r="B48" s="94">
        <f t="shared" ref="B48:Q48" si="18">(B40+B33+B26)*-1</f>
        <v>-25900</v>
      </c>
      <c r="C48" s="94">
        <f t="shared" si="18"/>
        <v>-57917.77</v>
      </c>
      <c r="D48" s="94">
        <f t="shared" si="18"/>
        <v>-50922.0139</v>
      </c>
      <c r="E48" s="94">
        <f t="shared" si="18"/>
        <v>-42554.05487</v>
      </c>
      <c r="F48" s="94">
        <f t="shared" si="18"/>
        <v>-19671.5625</v>
      </c>
      <c r="G48" s="94">
        <f t="shared" si="18"/>
        <v>-11905.14063</v>
      </c>
      <c r="H48" s="94">
        <f t="shared" si="18"/>
        <v>0</v>
      </c>
      <c r="I48" s="94">
        <f t="shared" si="18"/>
        <v>0</v>
      </c>
      <c r="J48" s="94">
        <f t="shared" si="18"/>
        <v>0</v>
      </c>
      <c r="K48" s="94">
        <f t="shared" si="18"/>
        <v>0</v>
      </c>
      <c r="L48" s="94">
        <f t="shared" si="18"/>
        <v>0</v>
      </c>
      <c r="M48" s="94">
        <f t="shared" si="18"/>
        <v>0</v>
      </c>
      <c r="N48" s="94">
        <f t="shared" si="18"/>
        <v>0</v>
      </c>
      <c r="O48" s="94">
        <f t="shared" si="18"/>
        <v>0</v>
      </c>
      <c r="P48" s="94">
        <f t="shared" si="18"/>
        <v>0</v>
      </c>
      <c r="Q48" s="94">
        <f t="shared" si="18"/>
        <v>0</v>
      </c>
    </row>
    <row r="49">
      <c r="A49" s="93" t="s">
        <v>132</v>
      </c>
      <c r="B49" s="94">
        <f t="shared" ref="B49:Q49" si="19">(B42+B35+B28)</f>
        <v>-189</v>
      </c>
      <c r="C49" s="94">
        <f t="shared" si="19"/>
        <v>-50000</v>
      </c>
      <c r="D49" s="94">
        <f t="shared" si="19"/>
        <v>0</v>
      </c>
      <c r="E49" s="94">
        <f t="shared" si="19"/>
        <v>-262489.5888</v>
      </c>
      <c r="F49" s="94">
        <f t="shared" si="19"/>
        <v>-150000</v>
      </c>
      <c r="G49" s="94">
        <f t="shared" si="19"/>
        <v>-250007.9531</v>
      </c>
      <c r="H49" s="94">
        <f t="shared" si="19"/>
        <v>0</v>
      </c>
      <c r="I49" s="94">
        <f t="shared" si="19"/>
        <v>0</v>
      </c>
      <c r="J49" s="94">
        <f t="shared" si="19"/>
        <v>0</v>
      </c>
      <c r="K49" s="94">
        <f t="shared" si="19"/>
        <v>0</v>
      </c>
      <c r="L49" s="94">
        <f t="shared" si="19"/>
        <v>0</v>
      </c>
      <c r="M49" s="94">
        <f t="shared" si="19"/>
        <v>0</v>
      </c>
      <c r="N49" s="94">
        <f t="shared" si="19"/>
        <v>0</v>
      </c>
      <c r="O49" s="94">
        <f t="shared" si="19"/>
        <v>0</v>
      </c>
      <c r="P49" s="94">
        <f t="shared" si="19"/>
        <v>0</v>
      </c>
      <c r="Q49" s="94">
        <f t="shared" si="19"/>
        <v>0</v>
      </c>
    </row>
    <row r="50">
      <c r="A50" s="93" t="s">
        <v>133</v>
      </c>
      <c r="B50" s="94">
        <f t="shared" ref="B50:Q50" si="20">B21</f>
        <v>0</v>
      </c>
      <c r="C50" s="94">
        <f t="shared" si="20"/>
        <v>-31500</v>
      </c>
      <c r="D50" s="94">
        <f t="shared" si="20"/>
        <v>-29400</v>
      </c>
      <c r="E50" s="94">
        <f t="shared" si="20"/>
        <v>-27300</v>
      </c>
      <c r="F50" s="94">
        <f t="shared" si="20"/>
        <v>-25200</v>
      </c>
      <c r="G50" s="94">
        <f t="shared" si="20"/>
        <v>-23100</v>
      </c>
      <c r="H50" s="94">
        <f t="shared" si="20"/>
        <v>-21000</v>
      </c>
      <c r="I50" s="94">
        <f t="shared" si="20"/>
        <v>-18900</v>
      </c>
      <c r="J50" s="94">
        <f t="shared" si="20"/>
        <v>-16800</v>
      </c>
      <c r="K50" s="94">
        <f t="shared" si="20"/>
        <v>-14700</v>
      </c>
      <c r="L50" s="94">
        <f t="shared" si="20"/>
        <v>-12600</v>
      </c>
      <c r="M50" s="94">
        <f t="shared" si="20"/>
        <v>-10500</v>
      </c>
      <c r="N50" s="94">
        <f t="shared" si="20"/>
        <v>-8400</v>
      </c>
      <c r="O50" s="94">
        <f t="shared" si="20"/>
        <v>-6300</v>
      </c>
      <c r="P50" s="94">
        <f t="shared" si="20"/>
        <v>-4200</v>
      </c>
      <c r="Q50" s="94">
        <f t="shared" si="20"/>
        <v>-2100</v>
      </c>
    </row>
    <row r="51">
      <c r="A51" s="93" t="s">
        <v>134</v>
      </c>
      <c r="B51" s="94">
        <f t="shared" ref="B51:Q51" si="21">B41+B34+B27</f>
        <v>-32600</v>
      </c>
      <c r="C51" s="94">
        <f t="shared" si="21"/>
        <v>-130000</v>
      </c>
      <c r="D51" s="94">
        <f t="shared" si="21"/>
        <v>-350000</v>
      </c>
      <c r="E51" s="94">
        <f t="shared" si="21"/>
        <v>-278584</v>
      </c>
      <c r="F51" s="94">
        <f t="shared" si="21"/>
        <v>-25000</v>
      </c>
      <c r="G51" s="94">
        <f t="shared" si="21"/>
        <v>0</v>
      </c>
      <c r="H51" s="94">
        <f t="shared" si="21"/>
        <v>0</v>
      </c>
      <c r="I51" s="94">
        <f t="shared" si="21"/>
        <v>0</v>
      </c>
      <c r="J51" s="94">
        <f t="shared" si="21"/>
        <v>0</v>
      </c>
      <c r="K51" s="94">
        <f t="shared" si="21"/>
        <v>0</v>
      </c>
      <c r="L51" s="94">
        <f t="shared" si="21"/>
        <v>0</v>
      </c>
      <c r="M51" s="94">
        <f t="shared" si="21"/>
        <v>0</v>
      </c>
      <c r="N51" s="94">
        <f t="shared" si="21"/>
        <v>0</v>
      </c>
      <c r="O51" s="94">
        <f t="shared" si="21"/>
        <v>0</v>
      </c>
      <c r="P51" s="94">
        <f t="shared" si="21"/>
        <v>0</v>
      </c>
      <c r="Q51" s="94">
        <f t="shared" si="21"/>
        <v>0</v>
      </c>
    </row>
    <row r="52">
      <c r="A52" s="93" t="s">
        <v>135</v>
      </c>
      <c r="B52" s="94">
        <f>B51*-1</f>
        <v>32600</v>
      </c>
      <c r="C52" s="94">
        <f t="shared" ref="C52:Q52" si="22">B52+C51*-1</f>
        <v>162600</v>
      </c>
      <c r="D52" s="94">
        <f t="shared" si="22"/>
        <v>512600</v>
      </c>
      <c r="E52" s="94">
        <f t="shared" si="22"/>
        <v>791184</v>
      </c>
      <c r="F52" s="94">
        <f t="shared" si="22"/>
        <v>816184</v>
      </c>
      <c r="G52" s="94">
        <f t="shared" si="22"/>
        <v>816184</v>
      </c>
      <c r="H52" s="94">
        <f t="shared" si="22"/>
        <v>816184</v>
      </c>
      <c r="I52" s="94">
        <f t="shared" si="22"/>
        <v>816184</v>
      </c>
      <c r="J52" s="94">
        <f t="shared" si="22"/>
        <v>816184</v>
      </c>
      <c r="K52" s="94">
        <f t="shared" si="22"/>
        <v>816184</v>
      </c>
      <c r="L52" s="94">
        <f t="shared" si="22"/>
        <v>816184</v>
      </c>
      <c r="M52" s="94">
        <f t="shared" si="22"/>
        <v>816184</v>
      </c>
      <c r="N52" s="94">
        <f t="shared" si="22"/>
        <v>816184</v>
      </c>
      <c r="O52" s="94">
        <f t="shared" si="22"/>
        <v>816184</v>
      </c>
      <c r="P52" s="94">
        <f t="shared" si="22"/>
        <v>816184</v>
      </c>
      <c r="Q52" s="94">
        <f t="shared" si="22"/>
        <v>816184</v>
      </c>
    </row>
    <row r="53">
      <c r="A53" s="95"/>
      <c r="B53" s="95"/>
      <c r="C53" s="95"/>
      <c r="D53" s="95"/>
      <c r="E53" s="95"/>
      <c r="F53" s="95"/>
      <c r="G53" s="95"/>
      <c r="H53" s="40"/>
      <c r="I53" s="40"/>
      <c r="J53" s="40"/>
      <c r="K53" s="40"/>
      <c r="L53" s="40"/>
      <c r="M53" s="40"/>
      <c r="N53" s="40"/>
      <c r="O53" s="40"/>
      <c r="P53" s="40"/>
      <c r="Q53" s="40"/>
    </row>
    <row r="54">
      <c r="A54" s="96" t="s">
        <v>136</v>
      </c>
      <c r="B54" s="95"/>
      <c r="C54" s="95"/>
      <c r="D54" s="95"/>
      <c r="E54" s="95"/>
      <c r="F54" s="95"/>
      <c r="G54" s="95"/>
      <c r="H54" s="40"/>
      <c r="I54" s="40"/>
      <c r="J54" s="40"/>
      <c r="K54" s="40"/>
      <c r="L54" s="40"/>
      <c r="M54" s="40"/>
      <c r="N54" s="40"/>
      <c r="O54" s="40"/>
      <c r="P54" s="40"/>
      <c r="Q54" s="40"/>
    </row>
    <row r="55">
      <c r="A55" s="97" t="s">
        <v>137</v>
      </c>
      <c r="B55" s="97">
        <v>0.0</v>
      </c>
      <c r="C55" s="97">
        <v>0.0</v>
      </c>
      <c r="D55" s="98">
        <f>E55/2</f>
        <v>123175.4917</v>
      </c>
      <c r="E55" s="99">
        <f>PL!B10</f>
        <v>246350.9833</v>
      </c>
      <c r="F55" s="99">
        <f>PL!C10</f>
        <v>287423.251</v>
      </c>
      <c r="G55" s="99">
        <f>PL!D10</f>
        <v>331316.675</v>
      </c>
      <c r="H55" s="99">
        <f>PL!E10</f>
        <v>372331.3602</v>
      </c>
      <c r="I55" s="99">
        <f>PL!F10</f>
        <v>407380.1219</v>
      </c>
      <c r="J55" s="99">
        <f>PL!G10</f>
        <v>445290.2744</v>
      </c>
      <c r="K55" s="99">
        <f>PL!H10</f>
        <v>486290.9222</v>
      </c>
      <c r="L55" s="99">
        <f>PL!I10</f>
        <v>530629.4882</v>
      </c>
      <c r="M55" s="99">
        <f>PL!J10</f>
        <v>578573.1777</v>
      </c>
      <c r="N55" s="99">
        <f>PL!K10</f>
        <v>630410.5615</v>
      </c>
      <c r="O55" s="99">
        <f>PL!L10</f>
        <v>686453.284</v>
      </c>
      <c r="P55" s="99">
        <f>PL!M10</f>
        <v>747037.9091</v>
      </c>
      <c r="Q55" s="99">
        <f>PL!N10</f>
        <v>812527.9129</v>
      </c>
    </row>
    <row r="56">
      <c r="A56" s="100" t="s">
        <v>138</v>
      </c>
      <c r="B56" s="101">
        <v>0.0</v>
      </c>
      <c r="C56" s="102">
        <f t="shared" ref="C56:Q56" si="23">-(C21+C20)</f>
        <v>78166.66667</v>
      </c>
      <c r="D56" s="102">
        <f t="shared" si="23"/>
        <v>76066.66667</v>
      </c>
      <c r="E56" s="102">
        <f t="shared" si="23"/>
        <v>73966.66667</v>
      </c>
      <c r="F56" s="102">
        <f t="shared" si="23"/>
        <v>71866.66667</v>
      </c>
      <c r="G56" s="102">
        <f t="shared" si="23"/>
        <v>69766.66667</v>
      </c>
      <c r="H56" s="102">
        <f t="shared" si="23"/>
        <v>67666.66667</v>
      </c>
      <c r="I56" s="103">
        <f t="shared" si="23"/>
        <v>65566.66667</v>
      </c>
      <c r="J56" s="80">
        <f t="shared" si="23"/>
        <v>63466.66667</v>
      </c>
      <c r="K56" s="80">
        <f t="shared" si="23"/>
        <v>61366.66667</v>
      </c>
      <c r="L56" s="80">
        <f t="shared" si="23"/>
        <v>59266.66667</v>
      </c>
      <c r="M56" s="80">
        <f t="shared" si="23"/>
        <v>57166.66667</v>
      </c>
      <c r="N56" s="80">
        <f t="shared" si="23"/>
        <v>55066.66667</v>
      </c>
      <c r="O56" s="80">
        <f t="shared" si="23"/>
        <v>52966.66667</v>
      </c>
      <c r="P56" s="80">
        <f t="shared" si="23"/>
        <v>50866.66667</v>
      </c>
      <c r="Q56" s="80">
        <f t="shared" si="23"/>
        <v>48766.66667</v>
      </c>
    </row>
    <row r="57">
      <c r="A57" s="97" t="s">
        <v>139</v>
      </c>
      <c r="B57" s="104">
        <v>0.0</v>
      </c>
      <c r="C57" s="105">
        <f t="shared" ref="C57:Q57" si="24">C55/C56</f>
        <v>0</v>
      </c>
      <c r="D57" s="105">
        <f t="shared" si="24"/>
        <v>1.619309706</v>
      </c>
      <c r="E57" s="105">
        <f t="shared" si="24"/>
        <v>3.330567598</v>
      </c>
      <c r="F57" s="105">
        <f t="shared" si="24"/>
        <v>3.999395886</v>
      </c>
      <c r="G57" s="105">
        <f t="shared" si="24"/>
        <v>4.748925107</v>
      </c>
      <c r="H57" s="105">
        <f t="shared" si="24"/>
        <v>5.502433895</v>
      </c>
      <c r="I57" s="106">
        <f t="shared" si="24"/>
        <v>6.213219958</v>
      </c>
      <c r="J57" s="106">
        <f t="shared" si="24"/>
        <v>7.016128273</v>
      </c>
      <c r="K57" s="106">
        <f t="shared" si="24"/>
        <v>7.924349629</v>
      </c>
      <c r="L57" s="106">
        <f t="shared" si="24"/>
        <v>8.953253456</v>
      </c>
      <c r="M57" s="106">
        <f t="shared" si="24"/>
        <v>10.1208136</v>
      </c>
      <c r="N57" s="106">
        <f t="shared" si="24"/>
        <v>11.44813368</v>
      </c>
      <c r="O57" s="106">
        <f t="shared" si="24"/>
        <v>12.96009976</v>
      </c>
      <c r="P57" s="106">
        <f t="shared" si="24"/>
        <v>14.68619743</v>
      </c>
      <c r="Q57" s="106">
        <f t="shared" si="24"/>
        <v>16.66154299</v>
      </c>
    </row>
    <row r="58">
      <c r="A58" s="107"/>
      <c r="B58" s="40"/>
      <c r="C58" s="40"/>
      <c r="D58" s="20" t="s">
        <v>140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</row>
    <row r="59">
      <c r="A59" s="46" t="s">
        <v>141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</row>
    <row r="60">
      <c r="A60" s="108" t="s">
        <v>142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</row>
    <row r="61">
      <c r="A61" s="108" t="s">
        <v>143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</row>
    <row r="62">
      <c r="A62" s="108" t="s">
        <v>144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</row>
    <row r="63">
      <c r="A63" s="108" t="s">
        <v>145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>
      <c r="A64" s="108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</row>
    <row r="65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</row>
    <row r="66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</row>
    <row r="67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</row>
    <row r="6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</row>
    <row r="69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</row>
    <row r="70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</row>
    <row r="7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</row>
    <row r="72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</row>
    <row r="73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</row>
    <row r="74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</row>
    <row r="7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</row>
    <row r="76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</row>
    <row r="77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</row>
    <row r="7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</row>
    <row r="79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</row>
    <row r="80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</row>
    <row r="8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</row>
    <row r="82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</row>
    <row r="83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</row>
    <row r="84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</row>
    <row r="85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</row>
    <row r="86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</row>
    <row r="87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</row>
    <row r="88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</row>
    <row r="89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</row>
    <row r="90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</row>
    <row r="9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</row>
    <row r="92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</row>
    <row r="93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</row>
    <row r="94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</row>
    <row r="95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</row>
    <row r="96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</row>
    <row r="97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</row>
    <row r="98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</row>
    <row r="99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</row>
    <row r="100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</row>
    <row r="10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</row>
    <row r="102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</row>
    <row r="103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</row>
    <row r="104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</row>
    <row r="105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</row>
    <row r="106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</row>
    <row r="107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</row>
    <row r="108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</row>
    <row r="109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</row>
    <row r="110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</row>
    <row r="11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</row>
    <row r="112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</row>
    <row r="113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</row>
    <row r="114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</row>
    <row r="115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</row>
    <row r="116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</row>
    <row r="117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</row>
    <row r="118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</row>
    <row r="119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</row>
    <row r="120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</row>
    <row r="12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</row>
    <row r="122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</row>
    <row r="123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</row>
    <row r="124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</row>
    <row r="125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</row>
    <row r="126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</row>
    <row r="127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</row>
    <row r="128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</row>
    <row r="129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</row>
    <row r="130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</row>
    <row r="13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</row>
    <row r="132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</row>
    <row r="133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</row>
    <row r="134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</row>
    <row r="135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</row>
    <row r="136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</row>
    <row r="137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</row>
    <row r="13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</row>
    <row r="139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</row>
    <row r="140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</row>
    <row r="14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</row>
    <row r="142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</row>
    <row r="143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</row>
    <row r="144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</row>
    <row r="145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</row>
    <row r="146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</row>
    <row r="147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</row>
    <row r="14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</row>
    <row r="149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</row>
    <row r="150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</row>
    <row r="15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</row>
    <row r="152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</row>
    <row r="153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</row>
    <row r="154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</row>
    <row r="15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</row>
    <row r="156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</row>
    <row r="157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</row>
    <row r="15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</row>
    <row r="159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</row>
    <row r="160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</row>
    <row r="16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</row>
    <row r="162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</row>
    <row r="163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</row>
    <row r="164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</row>
    <row r="16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</row>
    <row r="166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</row>
    <row r="167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</row>
    <row r="16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</row>
    <row r="169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</row>
    <row r="170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</row>
    <row r="17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</row>
    <row r="172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</row>
    <row r="17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</row>
    <row r="174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</row>
    <row r="17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</row>
    <row r="176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</row>
    <row r="177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</row>
    <row r="17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</row>
    <row r="179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</row>
    <row r="180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</row>
    <row r="18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</row>
    <row r="182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</row>
    <row r="18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</row>
    <row r="184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</row>
    <row r="18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</row>
    <row r="186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</row>
    <row r="187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</row>
    <row r="18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</row>
    <row r="189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</row>
    <row r="190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</row>
    <row r="19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</row>
    <row r="192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</row>
    <row r="19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</row>
    <row r="194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</row>
    <row r="19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</row>
    <row r="196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</row>
    <row r="197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</row>
    <row r="199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11" width="13.0"/>
    <col customWidth="1" min="12" max="14" width="14.0"/>
  </cols>
  <sheetData>
    <row r="1">
      <c r="A1" s="110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111" t="s">
        <v>147</v>
      </c>
    </row>
    <row r="4">
      <c r="A4" s="112" t="s">
        <v>148</v>
      </c>
      <c r="B4" s="112">
        <v>2028.0</v>
      </c>
      <c r="C4" s="112">
        <v>2029.0</v>
      </c>
      <c r="D4" s="112">
        <v>2030.0</v>
      </c>
      <c r="E4" s="112">
        <v>2031.0</v>
      </c>
      <c r="F4" s="112">
        <v>2032.0</v>
      </c>
      <c r="G4" s="112">
        <v>2033.0</v>
      </c>
      <c r="H4" s="112">
        <v>2034.0</v>
      </c>
      <c r="I4" s="112">
        <v>2035.0</v>
      </c>
      <c r="J4" s="112">
        <v>2036.0</v>
      </c>
      <c r="K4" s="112">
        <v>2037.0</v>
      </c>
      <c r="L4" s="112">
        <v>2038.0</v>
      </c>
      <c r="M4" s="112">
        <v>2039.0</v>
      </c>
      <c r="N4" s="112">
        <v>2040.0</v>
      </c>
    </row>
    <row r="5">
      <c r="A5" s="113" t="s">
        <v>4</v>
      </c>
      <c r="B5" s="114">
        <f>Assumptions!$B$5</f>
        <v>152.5</v>
      </c>
      <c r="C5" s="114">
        <f>B5</f>
        <v>152.5</v>
      </c>
      <c r="D5" s="114">
        <f>B5</f>
        <v>152.5</v>
      </c>
      <c r="E5" s="114">
        <f>B5</f>
        <v>152.5</v>
      </c>
      <c r="F5" s="114">
        <f>B5</f>
        <v>152.5</v>
      </c>
      <c r="G5" s="114">
        <f>B5</f>
        <v>152.5</v>
      </c>
      <c r="H5" s="114">
        <f>B5</f>
        <v>152.5</v>
      </c>
      <c r="I5" s="114">
        <f>B5</f>
        <v>152.5</v>
      </c>
      <c r="J5" s="114">
        <f>B5</f>
        <v>152.5</v>
      </c>
      <c r="K5" s="114">
        <f>B5</f>
        <v>152.5</v>
      </c>
      <c r="L5" s="114">
        <f>E5</f>
        <v>152.5</v>
      </c>
      <c r="M5" s="114">
        <f>E5</f>
        <v>152.5</v>
      </c>
      <c r="N5" s="114">
        <f>E5</f>
        <v>152.5</v>
      </c>
    </row>
    <row r="6">
      <c r="A6" s="113" t="s">
        <v>149</v>
      </c>
      <c r="B6" s="114">
        <f>B5*Assumptions!$B$13</f>
        <v>2440</v>
      </c>
      <c r="C6" s="114">
        <f>C5*Assumptions!$B$13</f>
        <v>2440</v>
      </c>
      <c r="D6" s="114">
        <f>D5*Assumptions!$B$13</f>
        <v>2440</v>
      </c>
      <c r="E6" s="114">
        <f>E5*Assumptions!$B$13</f>
        <v>2440</v>
      </c>
      <c r="F6" s="114">
        <f>F5*Assumptions!$B$13</f>
        <v>2440</v>
      </c>
      <c r="G6" s="114">
        <f>G5*Assumptions!$B$13</f>
        <v>2440</v>
      </c>
      <c r="H6" s="114">
        <f>H5*Assumptions!$B$13</f>
        <v>2440</v>
      </c>
      <c r="I6" s="114">
        <f>I5*Assumptions!$B$13</f>
        <v>2440</v>
      </c>
      <c r="J6" s="114">
        <f>J5*Assumptions!$B$13</f>
        <v>2440</v>
      </c>
      <c r="K6" s="114">
        <f>K5*Assumptions!$B$13</f>
        <v>2440</v>
      </c>
      <c r="L6" s="114">
        <f>L5*Assumptions!$B$13</f>
        <v>2440</v>
      </c>
      <c r="M6" s="114">
        <f>M5*Assumptions!$B$13</f>
        <v>2440</v>
      </c>
      <c r="N6" s="114">
        <f>N5*Assumptions!$B$13</f>
        <v>2440</v>
      </c>
    </row>
    <row r="7">
      <c r="A7" s="115" t="s">
        <v>150</v>
      </c>
      <c r="B7" s="116">
        <f>Assumptions!$B$21</f>
        <v>0.55</v>
      </c>
      <c r="C7" s="116">
        <f>MIN(B7+0.05,0.75)</f>
        <v>0.6</v>
      </c>
      <c r="D7" s="116">
        <f>MIN(C7+0.05,0.78)</f>
        <v>0.65</v>
      </c>
      <c r="E7" s="116">
        <f>MIN(D7+0.03,0.8)</f>
        <v>0.68</v>
      </c>
      <c r="F7" s="116">
        <f t="shared" ref="F7:N7" si="1">E7</f>
        <v>0.68</v>
      </c>
      <c r="G7" s="116">
        <f t="shared" si="1"/>
        <v>0.68</v>
      </c>
      <c r="H7" s="116">
        <f t="shared" si="1"/>
        <v>0.68</v>
      </c>
      <c r="I7" s="116">
        <f t="shared" si="1"/>
        <v>0.68</v>
      </c>
      <c r="J7" s="116">
        <f t="shared" si="1"/>
        <v>0.68</v>
      </c>
      <c r="K7" s="116">
        <f t="shared" si="1"/>
        <v>0.68</v>
      </c>
      <c r="L7" s="116">
        <f t="shared" si="1"/>
        <v>0.68</v>
      </c>
      <c r="M7" s="116">
        <f t="shared" si="1"/>
        <v>0.68</v>
      </c>
      <c r="N7" s="116">
        <f t="shared" si="1"/>
        <v>0.68</v>
      </c>
    </row>
    <row r="8">
      <c r="A8" s="113" t="s">
        <v>151</v>
      </c>
      <c r="B8" s="114">
        <f t="shared" ref="B8:N8" si="2">ROUND(B6*B7,0)</f>
        <v>1342</v>
      </c>
      <c r="C8" s="114">
        <f t="shared" si="2"/>
        <v>1464</v>
      </c>
      <c r="D8" s="114">
        <f t="shared" si="2"/>
        <v>1586</v>
      </c>
      <c r="E8" s="114">
        <f t="shared" si="2"/>
        <v>1659</v>
      </c>
      <c r="F8" s="114">
        <f t="shared" si="2"/>
        <v>1659</v>
      </c>
      <c r="G8" s="114">
        <f t="shared" si="2"/>
        <v>1659</v>
      </c>
      <c r="H8" s="114">
        <f t="shared" si="2"/>
        <v>1659</v>
      </c>
      <c r="I8" s="114">
        <f t="shared" si="2"/>
        <v>1659</v>
      </c>
      <c r="J8" s="114">
        <f t="shared" si="2"/>
        <v>1659</v>
      </c>
      <c r="K8" s="114">
        <f t="shared" si="2"/>
        <v>1659</v>
      </c>
      <c r="L8" s="114">
        <f t="shared" si="2"/>
        <v>1659</v>
      </c>
      <c r="M8" s="114">
        <f t="shared" si="2"/>
        <v>1659</v>
      </c>
      <c r="N8" s="114">
        <f t="shared" si="2"/>
        <v>1659</v>
      </c>
    </row>
    <row r="9">
      <c r="A9" s="117" t="s">
        <v>152</v>
      </c>
      <c r="B9" s="118">
        <f>Assumptions!$B$20</f>
        <v>113.4333333</v>
      </c>
      <c r="C9" s="118">
        <f>B9*(1+Assumptions!$B$58)</f>
        <v>115.702</v>
      </c>
      <c r="D9" s="118">
        <f>C9*(1+Assumptions!$B$58)</f>
        <v>118.01604</v>
      </c>
      <c r="E9" s="118">
        <f>D9*(1+Assumptions!$B$58)</f>
        <v>120.3763608</v>
      </c>
      <c r="F9" s="118">
        <f>E9*(1+Assumptions!$B$58)</f>
        <v>122.783888</v>
      </c>
      <c r="G9" s="118">
        <f>F9*(1+Assumptions!$B$58)</f>
        <v>125.2395658</v>
      </c>
      <c r="H9" s="118">
        <f>G9*(1+Assumptions!$B$58)</f>
        <v>127.7443571</v>
      </c>
      <c r="I9" s="118">
        <f>H9*(1+Assumptions!$B$58)</f>
        <v>130.2992442</v>
      </c>
      <c r="J9" s="118">
        <f>I9*(1+Assumptions!$B$58)</f>
        <v>132.9052291</v>
      </c>
      <c r="K9" s="118">
        <f>J9*(1+Assumptions!$B$58)</f>
        <v>135.5633337</v>
      </c>
      <c r="L9" s="118">
        <f>K9*(1+Assumptions!$B$58)</f>
        <v>138.2746004</v>
      </c>
      <c r="M9" s="118">
        <f>L9*(1+Assumptions!$B$58)</f>
        <v>141.0400924</v>
      </c>
      <c r="N9" s="118">
        <f>M9*(1+Assumptions!$B$58)</f>
        <v>143.8608942</v>
      </c>
    </row>
    <row r="10">
      <c r="A10" s="117" t="s">
        <v>153</v>
      </c>
      <c r="B10" s="118">
        <f t="shared" ref="B10:N10" si="3">B8*B9</f>
        <v>152227.5333</v>
      </c>
      <c r="C10" s="118">
        <f t="shared" si="3"/>
        <v>169387.728</v>
      </c>
      <c r="D10" s="118">
        <f t="shared" si="3"/>
        <v>187173.4394</v>
      </c>
      <c r="E10" s="118">
        <f t="shared" si="3"/>
        <v>199704.3826</v>
      </c>
      <c r="F10" s="118">
        <f t="shared" si="3"/>
        <v>203698.4702</v>
      </c>
      <c r="G10" s="118">
        <f t="shared" si="3"/>
        <v>207772.4396</v>
      </c>
      <c r="H10" s="118">
        <f t="shared" si="3"/>
        <v>211927.8884</v>
      </c>
      <c r="I10" s="118">
        <f t="shared" si="3"/>
        <v>216166.4462</v>
      </c>
      <c r="J10" s="118">
        <f t="shared" si="3"/>
        <v>220489.7751</v>
      </c>
      <c r="K10" s="118">
        <f t="shared" si="3"/>
        <v>224899.5706</v>
      </c>
      <c r="L10" s="118">
        <f t="shared" si="3"/>
        <v>229397.562</v>
      </c>
      <c r="M10" s="118">
        <f t="shared" si="3"/>
        <v>233985.5133</v>
      </c>
      <c r="N10" s="118">
        <f t="shared" si="3"/>
        <v>238665.2235</v>
      </c>
    </row>
    <row r="11">
      <c r="A11" s="117" t="s">
        <v>154</v>
      </c>
      <c r="B11" s="118">
        <f>(Assumptions!B46*Assumptions!B5*Assumptions!B47)+(Assumptions!B46*Assumptions!B48*Assumptions!B5)</f>
        <v>219600</v>
      </c>
      <c r="C11" s="118">
        <f>B11*(1+Assumptions!$B$59)</f>
        <v>237168</v>
      </c>
      <c r="D11" s="118">
        <f>C11*(1+Assumptions!$B$59)</f>
        <v>256141.44</v>
      </c>
      <c r="E11" s="118">
        <f>D11*(1+Assumptions!$B$59)</f>
        <v>276632.7552</v>
      </c>
      <c r="F11" s="118">
        <f>E11*(1+Assumptions!$B$59)</f>
        <v>298763.3756</v>
      </c>
      <c r="G11" s="118">
        <f>F11*(1+Assumptions!$B$59)</f>
        <v>322664.4457</v>
      </c>
      <c r="H11" s="118">
        <f>G11*(1+Assumptions!$B$59)</f>
        <v>348477.6013</v>
      </c>
      <c r="I11" s="118">
        <f>H11*(1+Assumptions!$B$59)</f>
        <v>376355.8094</v>
      </c>
      <c r="J11" s="118">
        <f>I11*(1+Assumptions!$B$59)</f>
        <v>406464.2742</v>
      </c>
      <c r="K11" s="118">
        <f>J11*(1+Assumptions!$B$59)</f>
        <v>438981.4161</v>
      </c>
      <c r="L11" s="118">
        <f>K11*(1+Assumptions!$B$59)</f>
        <v>474099.9294</v>
      </c>
      <c r="M11" s="118">
        <f>L11*(1+Assumptions!$B$59)</f>
        <v>512027.9238</v>
      </c>
      <c r="N11" s="118">
        <f>M11*(1+Assumptions!$B$59)</f>
        <v>552990.1577</v>
      </c>
    </row>
    <row r="12">
      <c r="A12" s="119" t="s">
        <v>155</v>
      </c>
      <c r="B12" s="119">
        <f t="shared" ref="B12:N12" si="4">B10+B11</f>
        <v>371827.5333</v>
      </c>
      <c r="C12" s="119">
        <f t="shared" si="4"/>
        <v>406555.728</v>
      </c>
      <c r="D12" s="119">
        <f t="shared" si="4"/>
        <v>443314.8794</v>
      </c>
      <c r="E12" s="119">
        <f t="shared" si="4"/>
        <v>476337.1378</v>
      </c>
      <c r="F12" s="119">
        <f t="shared" si="4"/>
        <v>502461.8458</v>
      </c>
      <c r="G12" s="119">
        <f t="shared" si="4"/>
        <v>530436.8853</v>
      </c>
      <c r="H12" s="119">
        <f t="shared" si="4"/>
        <v>560405.4897</v>
      </c>
      <c r="I12" s="119">
        <f t="shared" si="4"/>
        <v>592522.2556</v>
      </c>
      <c r="J12" s="119">
        <f t="shared" si="4"/>
        <v>626954.0493</v>
      </c>
      <c r="K12" s="119">
        <f t="shared" si="4"/>
        <v>663880.9867</v>
      </c>
      <c r="L12" s="119">
        <f t="shared" si="4"/>
        <v>703497.4914</v>
      </c>
      <c r="M12" s="119">
        <f t="shared" si="4"/>
        <v>746013.437</v>
      </c>
      <c r="N12" s="119">
        <f t="shared" si="4"/>
        <v>791655.3812</v>
      </c>
    </row>
    <row r="14">
      <c r="A14" s="120" t="s">
        <v>156</v>
      </c>
    </row>
    <row r="15">
      <c r="A15" s="112" t="s">
        <v>148</v>
      </c>
      <c r="B15" s="112">
        <v>2028.0</v>
      </c>
      <c r="C15" s="112">
        <v>2029.0</v>
      </c>
      <c r="D15" s="112">
        <v>2030.0</v>
      </c>
      <c r="E15" s="112">
        <v>2031.0</v>
      </c>
      <c r="F15" s="112">
        <v>2032.0</v>
      </c>
      <c r="G15" s="112">
        <v>2033.0</v>
      </c>
      <c r="H15" s="112">
        <v>2034.0</v>
      </c>
      <c r="I15" s="112">
        <v>2035.0</v>
      </c>
      <c r="J15" s="112">
        <v>2036.0</v>
      </c>
      <c r="K15" s="112">
        <v>2037.0</v>
      </c>
      <c r="L15" s="112">
        <v>2038.0</v>
      </c>
      <c r="M15" s="112">
        <v>2039.0</v>
      </c>
      <c r="N15" s="112">
        <v>2040.0</v>
      </c>
    </row>
    <row r="16">
      <c r="A16" s="113" t="s">
        <v>7</v>
      </c>
      <c r="B16" s="121">
        <f>Assumptions!$B$7</f>
        <v>212.5</v>
      </c>
      <c r="C16" s="121">
        <f>B16</f>
        <v>212.5</v>
      </c>
      <c r="D16" s="121">
        <f>B16</f>
        <v>212.5</v>
      </c>
      <c r="E16" s="121">
        <f>B16</f>
        <v>212.5</v>
      </c>
      <c r="F16" s="121">
        <f>B16</f>
        <v>212.5</v>
      </c>
      <c r="G16" s="121">
        <f>B16</f>
        <v>212.5</v>
      </c>
      <c r="H16" s="121">
        <f>B16</f>
        <v>212.5</v>
      </c>
      <c r="I16" s="121">
        <f>B16</f>
        <v>212.5</v>
      </c>
      <c r="J16" s="121">
        <f>B16</f>
        <v>212.5</v>
      </c>
      <c r="K16" s="121">
        <f>B16</f>
        <v>212.5</v>
      </c>
      <c r="L16" s="121">
        <f>E16</f>
        <v>212.5</v>
      </c>
      <c r="M16" s="121">
        <f>E16</f>
        <v>212.5</v>
      </c>
      <c r="N16" s="121">
        <f>E16</f>
        <v>212.5</v>
      </c>
    </row>
    <row r="17">
      <c r="A17" s="113" t="s">
        <v>149</v>
      </c>
      <c r="B17" s="121">
        <f>B16*Assumptions!$B$13</f>
        <v>3400</v>
      </c>
      <c r="C17" s="121">
        <f>C16*Assumptions!$B$13</f>
        <v>3400</v>
      </c>
      <c r="D17" s="121">
        <f>D16*Assumptions!$B$13</f>
        <v>3400</v>
      </c>
      <c r="E17" s="121">
        <f>E16*Assumptions!$B$13</f>
        <v>3400</v>
      </c>
      <c r="F17" s="121">
        <f>F16*Assumptions!$B$13</f>
        <v>3400</v>
      </c>
      <c r="G17" s="121">
        <f>G16*Assumptions!$B$13</f>
        <v>3400</v>
      </c>
      <c r="H17" s="121">
        <f>H16*Assumptions!$B$13</f>
        <v>3400</v>
      </c>
      <c r="I17" s="121">
        <f>I16*Assumptions!$B$13</f>
        <v>3400</v>
      </c>
      <c r="J17" s="121">
        <f>J16*Assumptions!$B$13</f>
        <v>3400</v>
      </c>
      <c r="K17" s="121">
        <f>K16*Assumptions!$B$13</f>
        <v>3400</v>
      </c>
      <c r="L17" s="121">
        <f>L16*Assumptions!$B$13</f>
        <v>3400</v>
      </c>
      <c r="M17" s="121">
        <f>M16*Assumptions!$B$13</f>
        <v>3400</v>
      </c>
      <c r="N17" s="121">
        <f>N16*Assumptions!$B$13</f>
        <v>3400</v>
      </c>
    </row>
    <row r="18">
      <c r="A18" s="113" t="s">
        <v>157</v>
      </c>
      <c r="B18" s="121">
        <f>ROUND(B17*Assumptions!$B$22,0)</f>
        <v>3060</v>
      </c>
      <c r="C18" s="121">
        <f>ROUND(C17*Assumptions!$B$22,0)</f>
        <v>3060</v>
      </c>
      <c r="D18" s="121">
        <f>ROUND(D17*Assumptions!$B$22,0)</f>
        <v>3060</v>
      </c>
      <c r="E18" s="121">
        <f>ROUND(E17*Assumptions!$B$22,0)</f>
        <v>3060</v>
      </c>
      <c r="F18" s="121">
        <f>ROUND(F17*Assumptions!$B$22,0)</f>
        <v>3060</v>
      </c>
      <c r="G18" s="121">
        <f>ROUND(G17*Assumptions!$B$22,0)</f>
        <v>3060</v>
      </c>
      <c r="H18" s="121">
        <f>ROUND(H17*Assumptions!$B$22,0)</f>
        <v>3060</v>
      </c>
      <c r="I18" s="121">
        <f>ROUND(I17*Assumptions!$B$22,0)</f>
        <v>3060</v>
      </c>
      <c r="J18" s="121">
        <f>ROUND(J17*Assumptions!$B$22,0)</f>
        <v>3060</v>
      </c>
      <c r="K18" s="121">
        <f>ROUND(K17*Assumptions!$B$22,0)</f>
        <v>3060</v>
      </c>
      <c r="L18" s="121">
        <f>ROUND(L17*Assumptions!$B$22,0)</f>
        <v>3060</v>
      </c>
      <c r="M18" s="121">
        <f>ROUND(M17*Assumptions!$B$22,0)</f>
        <v>3060</v>
      </c>
      <c r="N18" s="121">
        <f>ROUND(N17*Assumptions!$B$22,0)</f>
        <v>3060</v>
      </c>
    </row>
    <row r="19">
      <c r="A19" s="13" t="s">
        <v>158</v>
      </c>
      <c r="B19" s="121">
        <f t="shared" ref="B19:N19" si="5">ROUND((B17-B18)*0.4,0)</f>
        <v>136</v>
      </c>
      <c r="C19" s="121">
        <f t="shared" si="5"/>
        <v>136</v>
      </c>
      <c r="D19" s="121">
        <f t="shared" si="5"/>
        <v>136</v>
      </c>
      <c r="E19" s="121">
        <f t="shared" si="5"/>
        <v>136</v>
      </c>
      <c r="F19" s="121">
        <f t="shared" si="5"/>
        <v>136</v>
      </c>
      <c r="G19" s="121">
        <f t="shared" si="5"/>
        <v>136</v>
      </c>
      <c r="H19" s="121">
        <f t="shared" si="5"/>
        <v>136</v>
      </c>
      <c r="I19" s="121">
        <f t="shared" si="5"/>
        <v>136</v>
      </c>
      <c r="J19" s="121">
        <f t="shared" si="5"/>
        <v>136</v>
      </c>
      <c r="K19" s="121">
        <f t="shared" si="5"/>
        <v>136</v>
      </c>
      <c r="L19" s="121">
        <f t="shared" si="5"/>
        <v>136</v>
      </c>
      <c r="M19" s="121">
        <f t="shared" si="5"/>
        <v>136</v>
      </c>
      <c r="N19" s="121">
        <f t="shared" si="5"/>
        <v>136</v>
      </c>
    </row>
    <row r="20" ht="15.75" customHeight="1">
      <c r="A20" s="13" t="s">
        <v>159</v>
      </c>
      <c r="B20" s="122">
        <f>(B18+B19)*Assumptions!B55+ 'Co-Housing'!$G$37</f>
        <v>69784</v>
      </c>
      <c r="C20" s="122">
        <f>B20*(1+Assumptions!$B$58)</f>
        <v>71179.68</v>
      </c>
      <c r="D20" s="122">
        <f>C20*(1+Assumptions!$B$58)</f>
        <v>72603.2736</v>
      </c>
      <c r="E20" s="122">
        <f>D20*(1+Assumptions!$B$58)</f>
        <v>74055.33907</v>
      </c>
      <c r="F20" s="122">
        <f>E20*(1+Assumptions!$B$58)</f>
        <v>75536.44585</v>
      </c>
      <c r="G20" s="122">
        <f>F20*(1+Assumptions!$B$58)</f>
        <v>77047.17477</v>
      </c>
      <c r="H20" s="122">
        <f>G20*(1+Assumptions!$B$58)</f>
        <v>78588.11827</v>
      </c>
      <c r="I20" s="122">
        <f>H20*(1+Assumptions!$B$58)</f>
        <v>80159.88063</v>
      </c>
      <c r="J20" s="122">
        <f>I20*(1+Assumptions!$B$58)</f>
        <v>81763.07824</v>
      </c>
      <c r="K20" s="122">
        <f>J20*(1+Assumptions!$B$58)</f>
        <v>83398.33981</v>
      </c>
      <c r="L20" s="122">
        <f>K20*(1+Assumptions!$B$58)</f>
        <v>85066.3066</v>
      </c>
      <c r="M20" s="122">
        <f>L20*(1+Assumptions!$B$58)</f>
        <v>86767.63274</v>
      </c>
      <c r="N20" s="122">
        <f>M20*(1+Assumptions!$B$58)</f>
        <v>88502.98539</v>
      </c>
    </row>
    <row r="21" ht="15.75" customHeight="1">
      <c r="A21" s="123" t="s">
        <v>160</v>
      </c>
      <c r="B21" s="122">
        <f>(B18+B19)*Assumptions!$B$54</f>
        <v>44744</v>
      </c>
      <c r="C21" s="122">
        <f>B21*(1+Assumptions!$B$58)</f>
        <v>45638.88</v>
      </c>
      <c r="D21" s="122">
        <f>C21*(1+Assumptions!$B$58)</f>
        <v>46551.6576</v>
      </c>
      <c r="E21" s="122">
        <f>D21*(1+Assumptions!$B$58)</f>
        <v>47482.69075</v>
      </c>
      <c r="F21" s="122">
        <f>E21*(1+Assumptions!$B$58)</f>
        <v>48432.34457</v>
      </c>
      <c r="G21" s="122">
        <f>F21*(1+Assumptions!$B$58)</f>
        <v>49400.99146</v>
      </c>
      <c r="H21" s="122">
        <f>G21*(1+Assumptions!$B$58)</f>
        <v>50389.01129</v>
      </c>
      <c r="I21" s="122">
        <f>H21*(1+Assumptions!$B$58)</f>
        <v>51396.79151</v>
      </c>
      <c r="J21" s="122">
        <f>I21*(1+Assumptions!$B$58)</f>
        <v>52424.72734</v>
      </c>
      <c r="K21" s="122">
        <f>J21*(1+Assumptions!$B$58)</f>
        <v>53473.22189</v>
      </c>
      <c r="L21" s="122">
        <f>K21*(1+Assumptions!$B$58)</f>
        <v>54542.68633</v>
      </c>
      <c r="M21" s="122">
        <f>L21*(1+Assumptions!$B$58)</f>
        <v>55633.54005</v>
      </c>
      <c r="N21" s="122">
        <f>M21*(1+Assumptions!$B$58)</f>
        <v>56746.21086</v>
      </c>
    </row>
    <row r="22" ht="15.75" customHeight="1">
      <c r="A22" s="123" t="s">
        <v>161</v>
      </c>
      <c r="B22" s="122">
        <f>Assumptions!$B$7*(Assumptions!$B$52*Assumptions!$B$53)</f>
        <v>21250</v>
      </c>
      <c r="C22" s="122">
        <f>B22*(1+Assumptions!$B$58)</f>
        <v>21675</v>
      </c>
      <c r="D22" s="122">
        <f>C22*(1+Assumptions!$B$58)</f>
        <v>22108.5</v>
      </c>
      <c r="E22" s="122">
        <f>D22*(1+Assumptions!$B$58)</f>
        <v>22550.67</v>
      </c>
      <c r="F22" s="122">
        <f>E22*(1+Assumptions!$B$58)</f>
        <v>23001.6834</v>
      </c>
      <c r="G22" s="122">
        <f>F22*(1+Assumptions!$B$58)</f>
        <v>23461.71707</v>
      </c>
      <c r="H22" s="122">
        <f>G22*(1+Assumptions!$B$58)</f>
        <v>23930.95141</v>
      </c>
      <c r="I22" s="122">
        <f>H22*(1+Assumptions!$B$58)</f>
        <v>24409.57044</v>
      </c>
      <c r="J22" s="122">
        <f>I22*(1+Assumptions!$B$58)</f>
        <v>24897.76185</v>
      </c>
      <c r="K22" s="122">
        <f>J22*(1+Assumptions!$B$58)</f>
        <v>25395.71708</v>
      </c>
      <c r="L22" s="122">
        <f>K22*(1+Assumptions!$B$58)</f>
        <v>25903.63142</v>
      </c>
      <c r="M22" s="122">
        <f>L22*(1+Assumptions!$B$58)</f>
        <v>26421.70405</v>
      </c>
      <c r="N22" s="122">
        <f>M22*(1+Assumptions!$B$58)</f>
        <v>26950.13813</v>
      </c>
    </row>
    <row r="23" ht="15.75" customHeight="1">
      <c r="A23" s="119" t="s">
        <v>162</v>
      </c>
      <c r="B23" s="119">
        <f t="shared" ref="B23:N23" si="6">B21+B22+B20</f>
        <v>135778</v>
      </c>
      <c r="C23" s="119">
        <f t="shared" si="6"/>
        <v>138493.56</v>
      </c>
      <c r="D23" s="119">
        <f t="shared" si="6"/>
        <v>141263.4312</v>
      </c>
      <c r="E23" s="119">
        <f t="shared" si="6"/>
        <v>144088.6998</v>
      </c>
      <c r="F23" s="119">
        <f t="shared" si="6"/>
        <v>146970.4738</v>
      </c>
      <c r="G23" s="119">
        <f t="shared" si="6"/>
        <v>149909.8833</v>
      </c>
      <c r="H23" s="119">
        <f t="shared" si="6"/>
        <v>152908.081</v>
      </c>
      <c r="I23" s="119">
        <f t="shared" si="6"/>
        <v>155966.2426</v>
      </c>
      <c r="J23" s="119">
        <f t="shared" si="6"/>
        <v>159085.5674</v>
      </c>
      <c r="K23" s="119">
        <f t="shared" si="6"/>
        <v>162267.2788</v>
      </c>
      <c r="L23" s="119">
        <f t="shared" si="6"/>
        <v>165512.6244</v>
      </c>
      <c r="M23" s="119">
        <f t="shared" si="6"/>
        <v>168822.8768</v>
      </c>
      <c r="N23" s="119">
        <f t="shared" si="6"/>
        <v>172199.3344</v>
      </c>
    </row>
    <row r="24" ht="15.75" customHeight="1"/>
    <row r="25" ht="15.75" customHeight="1">
      <c r="A25" s="17" t="s">
        <v>29</v>
      </c>
    </row>
    <row r="26" ht="15.75" customHeight="1">
      <c r="A26" s="112" t="s">
        <v>148</v>
      </c>
      <c r="B26" s="112">
        <v>2028.0</v>
      </c>
      <c r="C26" s="112">
        <v>2029.0</v>
      </c>
      <c r="D26" s="112">
        <v>2030.0</v>
      </c>
      <c r="E26" s="112">
        <v>2031.0</v>
      </c>
      <c r="F26" s="112">
        <v>2032.0</v>
      </c>
      <c r="G26" s="112">
        <v>2033.0</v>
      </c>
      <c r="H26" s="112">
        <v>2034.0</v>
      </c>
      <c r="I26" s="112">
        <v>2035.0</v>
      </c>
      <c r="J26" s="112">
        <v>2036.0</v>
      </c>
      <c r="K26" s="112">
        <v>2037.0</v>
      </c>
      <c r="L26" s="112">
        <v>2038.0</v>
      </c>
      <c r="M26" s="112">
        <v>2039.0</v>
      </c>
      <c r="N26" s="112">
        <v>2040.0</v>
      </c>
    </row>
    <row r="27" ht="15.75" customHeight="1">
      <c r="A27" s="117" t="s">
        <v>163</v>
      </c>
      <c r="B27" s="124">
        <f>ROUND(6*180*Assumptions!$B$39,0)*Assumptions!$B$33</f>
        <v>38880</v>
      </c>
      <c r="C27" s="124">
        <f>B27*(1+Assumptions!$B$59)</f>
        <v>41990.4</v>
      </c>
      <c r="D27" s="124">
        <f>C27*(1+Assumptions!$B$59)</f>
        <v>45349.632</v>
      </c>
      <c r="E27" s="124">
        <f>D27*(1+Assumptions!$B$59)</f>
        <v>48977.60256</v>
      </c>
      <c r="F27" s="124">
        <f>E27*(1+Assumptions!$B$59)</f>
        <v>52895.81076</v>
      </c>
      <c r="G27" s="124">
        <f>F27*(1+Assumptions!$B$59)</f>
        <v>57127.47563</v>
      </c>
      <c r="H27" s="124">
        <f>G27*(1+Assumptions!$B$59)</f>
        <v>61697.67368</v>
      </c>
      <c r="I27" s="124">
        <f>H27*(1+Assumptions!$B$59)</f>
        <v>66633.48757</v>
      </c>
      <c r="J27" s="124">
        <f>I27*(1+Assumptions!$B$59)</f>
        <v>71964.16658</v>
      </c>
      <c r="K27" s="124">
        <f>J27*(1+Assumptions!$B$59)</f>
        <v>77721.2999</v>
      </c>
      <c r="L27" s="124">
        <f>K27*(1+Assumptions!$B$59)</f>
        <v>83939.00389</v>
      </c>
      <c r="M27" s="124">
        <f>L27*(1+Assumptions!$B$59)</f>
        <v>90654.12421</v>
      </c>
      <c r="N27" s="124">
        <f>M27*(1+Assumptions!$B$59)</f>
        <v>97906.45414</v>
      </c>
    </row>
    <row r="28" ht="15.75" customHeight="1">
      <c r="A28" s="117" t="s">
        <v>164</v>
      </c>
      <c r="B28" s="124">
        <f>ROUND(3*180*Assumptions!$B$39,0)*Assumptions!$B$34</f>
        <v>10800</v>
      </c>
      <c r="C28" s="124">
        <f>B28*(1+Assumptions!$B$59)</f>
        <v>11664</v>
      </c>
      <c r="D28" s="124">
        <f>C28*(1+Assumptions!$B$59)</f>
        <v>12597.12</v>
      </c>
      <c r="E28" s="124">
        <f>D28*(1+Assumptions!$B$59)</f>
        <v>13604.8896</v>
      </c>
      <c r="F28" s="124">
        <f>E28*(1+Assumptions!$B$59)</f>
        <v>14693.28077</v>
      </c>
      <c r="G28" s="124">
        <f>F28*(1+Assumptions!$B$59)</f>
        <v>15868.74323</v>
      </c>
      <c r="H28" s="124">
        <f>G28*(1+Assumptions!$B$59)</f>
        <v>17138.24269</v>
      </c>
      <c r="I28" s="124">
        <f>H28*(1+Assumptions!$B$59)</f>
        <v>18509.3021</v>
      </c>
      <c r="J28" s="124">
        <f>I28*(1+Assumptions!$B$59)</f>
        <v>19990.04627</v>
      </c>
      <c r="K28" s="124">
        <f>J28*(1+Assumptions!$B$59)</f>
        <v>21589.24997</v>
      </c>
      <c r="L28" s="124">
        <f>K28*(1+Assumptions!$B$59)</f>
        <v>23316.38997</v>
      </c>
      <c r="M28" s="124">
        <f>L28*(1+Assumptions!$B$59)</f>
        <v>25181.70117</v>
      </c>
      <c r="N28" s="124">
        <f>M28*(1+Assumptions!$B$59)</f>
        <v>27196.23726</v>
      </c>
    </row>
    <row r="29" ht="15.75" customHeight="1">
      <c r="A29" s="117" t="s">
        <v>165</v>
      </c>
      <c r="B29" s="124">
        <f>ROUND(1*365*Assumptions!$B$39,0)*Assumptions!$B$35</f>
        <v>17520</v>
      </c>
      <c r="C29" s="124">
        <f>B29*(1+Assumptions!$B$59)</f>
        <v>18921.6</v>
      </c>
      <c r="D29" s="124">
        <f>C29*(1+Assumptions!$B$59)</f>
        <v>20435.328</v>
      </c>
      <c r="E29" s="124">
        <f>D29*(1+Assumptions!$B$59)</f>
        <v>22070.15424</v>
      </c>
      <c r="F29" s="124">
        <f>E29*(1+Assumptions!$B$59)</f>
        <v>23835.76658</v>
      </c>
      <c r="G29" s="124">
        <f>F29*(1+Assumptions!$B$59)</f>
        <v>25742.62791</v>
      </c>
      <c r="H29" s="124">
        <f>G29*(1+Assumptions!$B$59)</f>
        <v>27802.03814</v>
      </c>
      <c r="I29" s="124">
        <f>H29*(1+Assumptions!$B$59)</f>
        <v>30026.20119</v>
      </c>
      <c r="J29" s="124">
        <f>I29*(1+Assumptions!$B$59)</f>
        <v>32428.29728</v>
      </c>
      <c r="K29" s="124">
        <f>J29*(1+Assumptions!$B$59)</f>
        <v>35022.56107</v>
      </c>
      <c r="L29" s="124">
        <f>K29*(1+Assumptions!$B$59)</f>
        <v>37824.36595</v>
      </c>
      <c r="M29" s="124">
        <f>L29*(1+Assumptions!$B$59)</f>
        <v>40850.31523</v>
      </c>
      <c r="N29" s="124">
        <f>M29*(1+Assumptions!$B$59)</f>
        <v>44118.34045</v>
      </c>
    </row>
    <row r="30" ht="15.75" customHeight="1">
      <c r="A30" s="117" t="s">
        <v>166</v>
      </c>
      <c r="B30" s="124">
        <f>ROUND(3*365*Assumptions!$B$39,0)*Assumptions!$B$36</f>
        <v>39420</v>
      </c>
      <c r="C30" s="124">
        <f>B30*(1+Assumptions!$B$59)</f>
        <v>42573.6</v>
      </c>
      <c r="D30" s="124">
        <f>C30*(1+Assumptions!$B$59)</f>
        <v>45979.488</v>
      </c>
      <c r="E30" s="124">
        <f>D30*(1+Assumptions!$B$59)</f>
        <v>49657.84704</v>
      </c>
      <c r="F30" s="124">
        <f>E30*(1+Assumptions!$B$59)</f>
        <v>53630.4748</v>
      </c>
      <c r="G30" s="124">
        <f>F30*(1+Assumptions!$B$59)</f>
        <v>57920.91279</v>
      </c>
      <c r="H30" s="124">
        <f>G30*(1+Assumptions!$B$59)</f>
        <v>62554.58581</v>
      </c>
      <c r="I30" s="124">
        <f>H30*(1+Assumptions!$B$59)</f>
        <v>67558.95268</v>
      </c>
      <c r="J30" s="124">
        <f>I30*(1+Assumptions!$B$59)</f>
        <v>72963.66889</v>
      </c>
      <c r="K30" s="124">
        <f>J30*(1+Assumptions!$B$59)</f>
        <v>78800.7624</v>
      </c>
      <c r="L30" s="124">
        <f>K30*(1+Assumptions!$B$59)</f>
        <v>85104.82339</v>
      </c>
      <c r="M30" s="124">
        <f>L30*(1+Assumptions!$B$59)</f>
        <v>91913.20926</v>
      </c>
      <c r="N30" s="124">
        <f>M30*(1+Assumptions!$B$59)</f>
        <v>99266.26601</v>
      </c>
    </row>
    <row r="31" ht="15.75" customHeight="1">
      <c r="A31" s="117" t="s">
        <v>167</v>
      </c>
      <c r="B31" s="124">
        <f>ROUND(6*180*Assumptions!$B$39,0)*Assumptions!$B$37</f>
        <v>8640</v>
      </c>
      <c r="C31" s="124">
        <f>B31*(1+Assumptions!$B$59)</f>
        <v>9331.2</v>
      </c>
      <c r="D31" s="124">
        <f>C31*(1+Assumptions!$B$59)</f>
        <v>10077.696</v>
      </c>
      <c r="E31" s="124">
        <f>D31*(1+Assumptions!$B$59)</f>
        <v>10883.91168</v>
      </c>
      <c r="F31" s="124">
        <f>E31*(1+Assumptions!$B$59)</f>
        <v>11754.62461</v>
      </c>
      <c r="G31" s="124">
        <f>F31*(1+Assumptions!$B$59)</f>
        <v>12694.99458</v>
      </c>
      <c r="H31" s="124">
        <f>G31*(1+Assumptions!$B$59)</f>
        <v>13710.59415</v>
      </c>
      <c r="I31" s="124">
        <f>H31*(1+Assumptions!$B$59)</f>
        <v>14807.44168</v>
      </c>
      <c r="J31" s="124">
        <f>I31*(1+Assumptions!$B$59)</f>
        <v>15992.03702</v>
      </c>
      <c r="K31" s="124">
        <f>J31*(1+Assumptions!$B$59)</f>
        <v>17271.39998</v>
      </c>
      <c r="L31" s="124">
        <f>K31*(1+Assumptions!$B$59)</f>
        <v>18653.11198</v>
      </c>
      <c r="M31" s="124">
        <f>L31*(1+Assumptions!$B$59)</f>
        <v>20145.36093</v>
      </c>
      <c r="N31" s="124">
        <f>M31*(1+Assumptions!$B$59)</f>
        <v>21756.98981</v>
      </c>
    </row>
    <row r="32" ht="15.75" customHeight="1">
      <c r="A32" s="125" t="s">
        <v>168</v>
      </c>
      <c r="B32" s="119">
        <f t="shared" ref="B32:N32" si="7">SUM(B27:B31)</f>
        <v>115260</v>
      </c>
      <c r="C32" s="119">
        <f t="shared" si="7"/>
        <v>124480.8</v>
      </c>
      <c r="D32" s="119">
        <f t="shared" si="7"/>
        <v>134439.264</v>
      </c>
      <c r="E32" s="119">
        <f t="shared" si="7"/>
        <v>145194.4051</v>
      </c>
      <c r="F32" s="119">
        <f t="shared" si="7"/>
        <v>156809.9575</v>
      </c>
      <c r="G32" s="119">
        <f t="shared" si="7"/>
        <v>169354.7541</v>
      </c>
      <c r="H32" s="119">
        <f t="shared" si="7"/>
        <v>182903.1345</v>
      </c>
      <c r="I32" s="119">
        <f t="shared" si="7"/>
        <v>197535.3852</v>
      </c>
      <c r="J32" s="119">
        <f t="shared" si="7"/>
        <v>213338.216</v>
      </c>
      <c r="K32" s="119">
        <f t="shared" si="7"/>
        <v>230405.2733</v>
      </c>
      <c r="L32" s="119">
        <f t="shared" si="7"/>
        <v>248837.6952</v>
      </c>
      <c r="M32" s="119">
        <f t="shared" si="7"/>
        <v>268744.7108</v>
      </c>
      <c r="N32" s="119">
        <f t="shared" si="7"/>
        <v>290244.2877</v>
      </c>
    </row>
    <row r="33" ht="15.75" customHeight="1"/>
    <row r="34" ht="15.75" customHeight="1">
      <c r="A34" s="4" t="s">
        <v>169</v>
      </c>
    </row>
    <row r="35" ht="15.75" customHeight="1">
      <c r="A35" s="112" t="s">
        <v>148</v>
      </c>
      <c r="B35" s="112">
        <v>2028.0</v>
      </c>
      <c r="C35" s="112">
        <v>2029.0</v>
      </c>
      <c r="D35" s="112">
        <v>2030.0</v>
      </c>
      <c r="E35" s="112">
        <v>2031.0</v>
      </c>
      <c r="F35" s="112">
        <v>2032.0</v>
      </c>
      <c r="G35" s="112">
        <v>2033.0</v>
      </c>
      <c r="H35" s="112">
        <v>2034.0</v>
      </c>
      <c r="I35" s="112">
        <v>2035.0</v>
      </c>
      <c r="J35" s="112">
        <v>2036.0</v>
      </c>
      <c r="K35" s="112">
        <v>2037.0</v>
      </c>
      <c r="L35" s="112">
        <v>2038.0</v>
      </c>
      <c r="M35" s="112">
        <v>2039.0</v>
      </c>
      <c r="N35" s="112">
        <v>2040.0</v>
      </c>
    </row>
    <row r="36" ht="15.75" customHeight="1">
      <c r="A36" s="117" t="s">
        <v>170</v>
      </c>
      <c r="B36" s="123">
        <v>20000.0</v>
      </c>
      <c r="C36" s="117">
        <f t="shared" ref="C36:N36" si="8">B36*1.08</f>
        <v>21600</v>
      </c>
      <c r="D36" s="117">
        <f t="shared" si="8"/>
        <v>23328</v>
      </c>
      <c r="E36" s="117">
        <f t="shared" si="8"/>
        <v>25194.24</v>
      </c>
      <c r="F36" s="117">
        <f t="shared" si="8"/>
        <v>27209.7792</v>
      </c>
      <c r="G36" s="117">
        <f t="shared" si="8"/>
        <v>29386.56154</v>
      </c>
      <c r="H36" s="117">
        <f t="shared" si="8"/>
        <v>31737.48646</v>
      </c>
      <c r="I36" s="117">
        <f t="shared" si="8"/>
        <v>34276.48538</v>
      </c>
      <c r="J36" s="117">
        <f t="shared" si="8"/>
        <v>37018.60421</v>
      </c>
      <c r="K36" s="117">
        <f t="shared" si="8"/>
        <v>39980.09254</v>
      </c>
      <c r="L36" s="117">
        <f t="shared" si="8"/>
        <v>43178.49995</v>
      </c>
      <c r="M36" s="117">
        <f t="shared" si="8"/>
        <v>46632.77994</v>
      </c>
      <c r="N36" s="117">
        <f t="shared" si="8"/>
        <v>50363.40234</v>
      </c>
    </row>
    <row r="37" ht="15.75" customHeight="1">
      <c r="A37" s="117" t="s">
        <v>171</v>
      </c>
      <c r="B37" s="123">
        <v>10000.0</v>
      </c>
      <c r="C37" s="123">
        <v>10000.0</v>
      </c>
      <c r="D37" s="123">
        <v>10000.0</v>
      </c>
      <c r="E37" s="123">
        <v>10000.0</v>
      </c>
      <c r="F37" s="123">
        <v>10000.0</v>
      </c>
      <c r="G37" s="123">
        <v>10000.0</v>
      </c>
      <c r="H37" s="123">
        <v>10000.0</v>
      </c>
      <c r="I37" s="123">
        <v>10000.0</v>
      </c>
      <c r="J37" s="123">
        <v>10000.0</v>
      </c>
      <c r="K37" s="123">
        <v>10000.0</v>
      </c>
      <c r="L37" s="123">
        <v>10000.0</v>
      </c>
      <c r="M37" s="123">
        <v>10000.0</v>
      </c>
      <c r="N37" s="123">
        <v>10000.0</v>
      </c>
    </row>
    <row r="38" ht="15.75" customHeight="1">
      <c r="A38" s="119" t="s">
        <v>172</v>
      </c>
      <c r="B38" s="119">
        <f t="shared" ref="B38:N38" si="9">SUM(B36:B37)</f>
        <v>30000</v>
      </c>
      <c r="C38" s="119">
        <f t="shared" si="9"/>
        <v>31600</v>
      </c>
      <c r="D38" s="119">
        <f t="shared" si="9"/>
        <v>33328</v>
      </c>
      <c r="E38" s="119">
        <f t="shared" si="9"/>
        <v>35194.24</v>
      </c>
      <c r="F38" s="119">
        <f t="shared" si="9"/>
        <v>37209.7792</v>
      </c>
      <c r="G38" s="119">
        <f t="shared" si="9"/>
        <v>39386.56154</v>
      </c>
      <c r="H38" s="119">
        <f t="shared" si="9"/>
        <v>41737.48646</v>
      </c>
      <c r="I38" s="119">
        <f t="shared" si="9"/>
        <v>44276.48538</v>
      </c>
      <c r="J38" s="119">
        <f t="shared" si="9"/>
        <v>47018.60421</v>
      </c>
      <c r="K38" s="119">
        <f t="shared" si="9"/>
        <v>49980.09254</v>
      </c>
      <c r="L38" s="119">
        <f t="shared" si="9"/>
        <v>53178.49995</v>
      </c>
      <c r="M38" s="119">
        <f t="shared" si="9"/>
        <v>56632.77994</v>
      </c>
      <c r="N38" s="119">
        <f t="shared" si="9"/>
        <v>60363.40234</v>
      </c>
    </row>
    <row r="39" ht="15.75" customHeight="1"/>
    <row r="40" ht="15.75" customHeight="1">
      <c r="A40" s="126" t="s">
        <v>173</v>
      </c>
    </row>
    <row r="41" ht="15.75" customHeight="1">
      <c r="A41" s="112" t="s">
        <v>148</v>
      </c>
      <c r="B41" s="112">
        <v>2028.0</v>
      </c>
      <c r="C41" s="112">
        <v>2029.0</v>
      </c>
      <c r="D41" s="112">
        <v>2030.0</v>
      </c>
      <c r="E41" s="112">
        <v>2031.0</v>
      </c>
      <c r="F41" s="112">
        <v>2032.0</v>
      </c>
      <c r="G41" s="112">
        <v>2033.0</v>
      </c>
      <c r="H41" s="112">
        <v>2034.0</v>
      </c>
      <c r="I41" s="112">
        <v>2035.0</v>
      </c>
      <c r="J41" s="112">
        <v>2036.0</v>
      </c>
      <c r="K41" s="112">
        <v>2037.0</v>
      </c>
      <c r="L41" s="112">
        <v>2038.0</v>
      </c>
      <c r="M41" s="112">
        <v>2039.0</v>
      </c>
      <c r="N41" s="112">
        <v>2040.0</v>
      </c>
    </row>
    <row r="42" ht="15.75" customHeight="1">
      <c r="A42" s="123" t="s">
        <v>174</v>
      </c>
      <c r="B42" s="117">
        <f t="shared" ref="B42:N42" si="10">B12</f>
        <v>371827.5333</v>
      </c>
      <c r="C42" s="117">
        <f t="shared" si="10"/>
        <v>406555.728</v>
      </c>
      <c r="D42" s="117">
        <f t="shared" si="10"/>
        <v>443314.8794</v>
      </c>
      <c r="E42" s="117">
        <f t="shared" si="10"/>
        <v>476337.1378</v>
      </c>
      <c r="F42" s="117">
        <f t="shared" si="10"/>
        <v>502461.8458</v>
      </c>
      <c r="G42" s="117">
        <f t="shared" si="10"/>
        <v>530436.8853</v>
      </c>
      <c r="H42" s="117">
        <f t="shared" si="10"/>
        <v>560405.4897</v>
      </c>
      <c r="I42" s="117">
        <f t="shared" si="10"/>
        <v>592522.2556</v>
      </c>
      <c r="J42" s="117">
        <f t="shared" si="10"/>
        <v>626954.0493</v>
      </c>
      <c r="K42" s="117">
        <f t="shared" si="10"/>
        <v>663880.9867</v>
      </c>
      <c r="L42" s="117">
        <f t="shared" si="10"/>
        <v>703497.4914</v>
      </c>
      <c r="M42" s="117">
        <f t="shared" si="10"/>
        <v>746013.437</v>
      </c>
      <c r="N42" s="117">
        <f t="shared" si="10"/>
        <v>791655.3812</v>
      </c>
    </row>
    <row r="43" ht="15.75" customHeight="1">
      <c r="A43" s="123" t="s">
        <v>175</v>
      </c>
      <c r="B43" s="117">
        <f t="shared" ref="B43:N43" si="11">B23</f>
        <v>135778</v>
      </c>
      <c r="C43" s="117">
        <f t="shared" si="11"/>
        <v>138493.56</v>
      </c>
      <c r="D43" s="117">
        <f t="shared" si="11"/>
        <v>141263.4312</v>
      </c>
      <c r="E43" s="117">
        <f t="shared" si="11"/>
        <v>144088.6998</v>
      </c>
      <c r="F43" s="117">
        <f t="shared" si="11"/>
        <v>146970.4738</v>
      </c>
      <c r="G43" s="117">
        <f t="shared" si="11"/>
        <v>149909.8833</v>
      </c>
      <c r="H43" s="117">
        <f t="shared" si="11"/>
        <v>152908.081</v>
      </c>
      <c r="I43" s="117">
        <f t="shared" si="11"/>
        <v>155966.2426</v>
      </c>
      <c r="J43" s="117">
        <f t="shared" si="11"/>
        <v>159085.5674</v>
      </c>
      <c r="K43" s="117">
        <f t="shared" si="11"/>
        <v>162267.2788</v>
      </c>
      <c r="L43" s="117">
        <f t="shared" si="11"/>
        <v>165512.6244</v>
      </c>
      <c r="M43" s="117">
        <f t="shared" si="11"/>
        <v>168822.8768</v>
      </c>
      <c r="N43" s="117">
        <f t="shared" si="11"/>
        <v>172199.3344</v>
      </c>
    </row>
    <row r="44" ht="15.75" customHeight="1">
      <c r="A44" s="123" t="s">
        <v>176</v>
      </c>
      <c r="B44" s="117">
        <f t="shared" ref="B44:N44" si="12">B32</f>
        <v>115260</v>
      </c>
      <c r="C44" s="117">
        <f t="shared" si="12"/>
        <v>124480.8</v>
      </c>
      <c r="D44" s="117">
        <f t="shared" si="12"/>
        <v>134439.264</v>
      </c>
      <c r="E44" s="117">
        <f t="shared" si="12"/>
        <v>145194.4051</v>
      </c>
      <c r="F44" s="117">
        <f t="shared" si="12"/>
        <v>156809.9575</v>
      </c>
      <c r="G44" s="117">
        <f t="shared" si="12"/>
        <v>169354.7541</v>
      </c>
      <c r="H44" s="117">
        <f t="shared" si="12"/>
        <v>182903.1345</v>
      </c>
      <c r="I44" s="117">
        <f t="shared" si="12"/>
        <v>197535.3852</v>
      </c>
      <c r="J44" s="117">
        <f t="shared" si="12"/>
        <v>213338.216</v>
      </c>
      <c r="K44" s="117">
        <f t="shared" si="12"/>
        <v>230405.2733</v>
      </c>
      <c r="L44" s="117">
        <f t="shared" si="12"/>
        <v>248837.6952</v>
      </c>
      <c r="M44" s="117">
        <f t="shared" si="12"/>
        <v>268744.7108</v>
      </c>
      <c r="N44" s="117">
        <f t="shared" si="12"/>
        <v>290244.2877</v>
      </c>
    </row>
    <row r="45" ht="15.75" customHeight="1">
      <c r="A45" s="117" t="s">
        <v>177</v>
      </c>
      <c r="B45" s="117">
        <f t="shared" ref="B45:N45" si="13">B38</f>
        <v>30000</v>
      </c>
      <c r="C45" s="117">
        <f t="shared" si="13"/>
        <v>31600</v>
      </c>
      <c r="D45" s="117">
        <f t="shared" si="13"/>
        <v>33328</v>
      </c>
      <c r="E45" s="117">
        <f t="shared" si="13"/>
        <v>35194.24</v>
      </c>
      <c r="F45" s="117">
        <f t="shared" si="13"/>
        <v>37209.7792</v>
      </c>
      <c r="G45" s="117">
        <f t="shared" si="13"/>
        <v>39386.56154</v>
      </c>
      <c r="H45" s="117">
        <f t="shared" si="13"/>
        <v>41737.48646</v>
      </c>
      <c r="I45" s="117">
        <f t="shared" si="13"/>
        <v>44276.48538</v>
      </c>
      <c r="J45" s="117">
        <f t="shared" si="13"/>
        <v>47018.60421</v>
      </c>
      <c r="K45" s="117">
        <f t="shared" si="13"/>
        <v>49980.09254</v>
      </c>
      <c r="L45" s="117">
        <f t="shared" si="13"/>
        <v>53178.49995</v>
      </c>
      <c r="M45" s="117">
        <f t="shared" si="13"/>
        <v>56632.77994</v>
      </c>
      <c r="N45" s="117">
        <f t="shared" si="13"/>
        <v>60363.40234</v>
      </c>
    </row>
    <row r="46" ht="15.75" customHeight="1">
      <c r="A46" s="119" t="s">
        <v>178</v>
      </c>
      <c r="B46" s="119">
        <f t="shared" ref="B46:N46" si="14">B42+B43+B44+B45</f>
        <v>652865.5333</v>
      </c>
      <c r="C46" s="119">
        <f t="shared" si="14"/>
        <v>701130.088</v>
      </c>
      <c r="D46" s="119">
        <f t="shared" si="14"/>
        <v>752345.5746</v>
      </c>
      <c r="E46" s="119">
        <f t="shared" si="14"/>
        <v>800814.4827</v>
      </c>
      <c r="F46" s="119">
        <f t="shared" si="14"/>
        <v>843452.0564</v>
      </c>
      <c r="G46" s="119">
        <f t="shared" si="14"/>
        <v>889088.0843</v>
      </c>
      <c r="H46" s="119">
        <f t="shared" si="14"/>
        <v>937954.1916</v>
      </c>
      <c r="I46" s="119">
        <f t="shared" si="14"/>
        <v>990300.3688</v>
      </c>
      <c r="J46" s="119">
        <f t="shared" si="14"/>
        <v>1046396.437</v>
      </c>
      <c r="K46" s="119">
        <f t="shared" si="14"/>
        <v>1106533.631</v>
      </c>
      <c r="L46" s="119">
        <f t="shared" si="14"/>
        <v>1171026.311</v>
      </c>
      <c r="M46" s="119">
        <f t="shared" si="14"/>
        <v>1240213.805</v>
      </c>
      <c r="N46" s="119">
        <f t="shared" si="14"/>
        <v>1314462.406</v>
      </c>
    </row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11" width="13.0"/>
    <col customWidth="1" min="12" max="14" width="13.86"/>
  </cols>
  <sheetData>
    <row r="1">
      <c r="A1" s="110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112" t="s">
        <v>148</v>
      </c>
      <c r="B3" s="112">
        <v>2028.0</v>
      </c>
      <c r="C3" s="112">
        <v>2029.0</v>
      </c>
      <c r="D3" s="112">
        <v>2030.0</v>
      </c>
      <c r="E3" s="112">
        <v>2031.0</v>
      </c>
      <c r="F3" s="112">
        <v>2032.0</v>
      </c>
      <c r="G3" s="112">
        <v>2033.0</v>
      </c>
      <c r="H3" s="112">
        <v>2034.0</v>
      </c>
      <c r="I3" s="112">
        <v>2035.0</v>
      </c>
      <c r="J3" s="112">
        <v>2036.0</v>
      </c>
      <c r="K3" s="112">
        <v>2037.0</v>
      </c>
      <c r="L3" s="112">
        <v>2038.0</v>
      </c>
      <c r="M3" s="112">
        <v>2039.0</v>
      </c>
      <c r="N3" s="112">
        <v>2040.0</v>
      </c>
    </row>
    <row r="4">
      <c r="A4" s="127" t="s">
        <v>180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</row>
    <row r="5">
      <c r="A5" s="113" t="s">
        <v>181</v>
      </c>
      <c r="B5" s="117">
        <f>Assumptions!$E$80</f>
        <v>218913.75</v>
      </c>
      <c r="C5" s="117">
        <f>B5*(1+Assumptions!$B$58)</f>
        <v>223292.025</v>
      </c>
      <c r="D5" s="117">
        <f>C5*(1+Assumptions!$B$58)</f>
        <v>227757.8655</v>
      </c>
      <c r="E5" s="117">
        <f>D5*(1+Assumptions!$B$58)</f>
        <v>232313.0228</v>
      </c>
      <c r="F5" s="117">
        <f>E5*(1+Assumptions!$B$58)</f>
        <v>236959.2833</v>
      </c>
      <c r="G5" s="117">
        <f>F5*(1+Assumptions!$B$58)</f>
        <v>241698.4689</v>
      </c>
      <c r="H5" s="117">
        <f>G5*(1+Assumptions!$B$58)</f>
        <v>246532.4383</v>
      </c>
      <c r="I5" s="117">
        <f>H5*(1+Assumptions!$B$58)</f>
        <v>251463.0871</v>
      </c>
      <c r="J5" s="117">
        <f>I5*(1+Assumptions!$B$58)</f>
        <v>256492.3488</v>
      </c>
      <c r="K5" s="117">
        <f>J5*(1+Assumptions!$B$58)</f>
        <v>261622.1958</v>
      </c>
      <c r="L5" s="117">
        <f>K5*(1+Assumptions!$B$58)</f>
        <v>266854.6397</v>
      </c>
      <c r="M5" s="117">
        <f>L5*(1+Assumptions!$B$58)</f>
        <v>272191.7325</v>
      </c>
      <c r="N5" s="117">
        <f>M5*(1+Assumptions!$B$58)</f>
        <v>277635.5672</v>
      </c>
    </row>
    <row r="7">
      <c r="A7" s="128" t="s">
        <v>182</v>
      </c>
    </row>
    <row r="8">
      <c r="A8" s="129" t="s">
        <v>183</v>
      </c>
      <c r="B8" s="130">
        <f>Revenue!B11*Assumptions!B49</f>
        <v>65880</v>
      </c>
      <c r="C8" s="117">
        <f>B8*(1+Assumptions!$B$60)</f>
        <v>66868.2</v>
      </c>
      <c r="D8" s="117">
        <f>C8*(1+Assumptions!$B$60)</f>
        <v>67871.223</v>
      </c>
      <c r="E8" s="117">
        <f>D8*(1+Assumptions!$B$60)</f>
        <v>68889.29135</v>
      </c>
      <c r="F8" s="117">
        <f>E8*(1+Assumptions!$B$60)</f>
        <v>69922.63072</v>
      </c>
      <c r="G8" s="117">
        <f>F8*(1+Assumptions!$B$60)</f>
        <v>70971.47018</v>
      </c>
      <c r="H8" s="117">
        <f>G8*(1+Assumptions!$B$60)</f>
        <v>72036.04223</v>
      </c>
      <c r="I8" s="117">
        <f>H8*(1+Assumptions!$B$60)</f>
        <v>73116.58286</v>
      </c>
      <c r="J8" s="117">
        <f>I8*(1+Assumptions!$B$60)</f>
        <v>74213.3316</v>
      </c>
      <c r="K8" s="117">
        <f>J8*(1+Assumptions!$B$60)</f>
        <v>75326.53158</v>
      </c>
      <c r="L8" s="117">
        <f>K8*(1+Assumptions!$B$60)</f>
        <v>76456.42955</v>
      </c>
      <c r="M8" s="117">
        <f>L8*(1+Assumptions!$B$60)</f>
        <v>77603.276</v>
      </c>
      <c r="N8" s="117">
        <f>M8*(1+Assumptions!$B$60)</f>
        <v>78767.32514</v>
      </c>
    </row>
    <row r="9">
      <c r="A9" s="129" t="s">
        <v>184</v>
      </c>
      <c r="B9" s="131">
        <f>Revenue!B21*Assumptions!B51</f>
        <v>31320.8</v>
      </c>
      <c r="C9" s="117">
        <f>B9*(1+Assumptions!$B$60)</f>
        <v>31790.612</v>
      </c>
      <c r="D9" s="117">
        <f>C9*(1+Assumptions!$B$60)</f>
        <v>32267.47118</v>
      </c>
      <c r="E9" s="117">
        <f>D9*(1+Assumptions!$B$60)</f>
        <v>32751.48325</v>
      </c>
      <c r="F9" s="117">
        <f>E9*(1+Assumptions!$B$60)</f>
        <v>33242.7555</v>
      </c>
      <c r="G9" s="117">
        <f>F9*(1+Assumptions!$B$60)</f>
        <v>33741.39683</v>
      </c>
      <c r="H9" s="117">
        <f>G9*(1+Assumptions!$B$60)</f>
        <v>34247.51778</v>
      </c>
      <c r="I9" s="117">
        <f>H9*(1+Assumptions!$B$60)</f>
        <v>34761.23055</v>
      </c>
      <c r="J9" s="117">
        <f>I9*(1+Assumptions!$B$60)</f>
        <v>35282.64901</v>
      </c>
      <c r="K9" s="117">
        <f>J9*(1+Assumptions!$B$60)</f>
        <v>35811.88874</v>
      </c>
      <c r="L9" s="117">
        <f>K9*(1+Assumptions!$B$60)</f>
        <v>36349.06707</v>
      </c>
      <c r="M9" s="117">
        <f>L9*(1+Assumptions!$B$60)</f>
        <v>36894.30308</v>
      </c>
      <c r="N9" s="117">
        <f>M9*(1+Assumptions!$B$60)</f>
        <v>37447.71762</v>
      </c>
    </row>
    <row r="10">
      <c r="A10" s="113" t="s">
        <v>185</v>
      </c>
      <c r="B10" s="117">
        <v>12000.0</v>
      </c>
      <c r="C10" s="117">
        <f>B10*(1+Assumptions!$B$60)</f>
        <v>12180</v>
      </c>
      <c r="D10" s="117">
        <f>C10*(1+Assumptions!$B$60)</f>
        <v>12362.7</v>
      </c>
      <c r="E10" s="117">
        <f>D10*(1+Assumptions!$B$60)</f>
        <v>12548.1405</v>
      </c>
      <c r="F10" s="117">
        <f>E10*(1+Assumptions!$B$60)</f>
        <v>12736.36261</v>
      </c>
      <c r="G10" s="117">
        <f>F10*(1+Assumptions!$B$60)</f>
        <v>12927.40805</v>
      </c>
      <c r="H10" s="117">
        <f>G10*(1+Assumptions!$B$60)</f>
        <v>13121.31917</v>
      </c>
      <c r="I10" s="117">
        <f>H10*(1+Assumptions!$B$60)</f>
        <v>13318.13895</v>
      </c>
      <c r="J10" s="117">
        <f>I10*(1+Assumptions!$B$60)</f>
        <v>13517.91104</v>
      </c>
      <c r="K10" s="117">
        <f>J10*(1+Assumptions!$B$60)</f>
        <v>13720.6797</v>
      </c>
      <c r="L10" s="117">
        <f>K10*(1+Assumptions!$B$60)</f>
        <v>13926.4899</v>
      </c>
      <c r="M10" s="117">
        <f>L10*(1+Assumptions!$B$60)</f>
        <v>14135.38725</v>
      </c>
      <c r="N10" s="117">
        <f>M10*(1+Assumptions!$B$60)</f>
        <v>14347.41806</v>
      </c>
    </row>
    <row r="11">
      <c r="A11" s="132" t="s">
        <v>186</v>
      </c>
      <c r="B11" s="133">
        <f t="shared" ref="B11:N11" si="1">SUM(B8:B10)</f>
        <v>109200.8</v>
      </c>
      <c r="C11" s="133">
        <f t="shared" si="1"/>
        <v>110838.812</v>
      </c>
      <c r="D11" s="133">
        <f t="shared" si="1"/>
        <v>112501.3942</v>
      </c>
      <c r="E11" s="133">
        <f t="shared" si="1"/>
        <v>114188.9151</v>
      </c>
      <c r="F11" s="133">
        <f t="shared" si="1"/>
        <v>115901.7488</v>
      </c>
      <c r="G11" s="133">
        <f t="shared" si="1"/>
        <v>117640.2751</v>
      </c>
      <c r="H11" s="133">
        <f t="shared" si="1"/>
        <v>119404.8792</v>
      </c>
      <c r="I11" s="133">
        <f t="shared" si="1"/>
        <v>121195.9524</v>
      </c>
      <c r="J11" s="133">
        <f t="shared" si="1"/>
        <v>123013.8917</v>
      </c>
      <c r="K11" s="133">
        <f t="shared" si="1"/>
        <v>124859.1</v>
      </c>
      <c r="L11" s="133">
        <f t="shared" si="1"/>
        <v>126731.9865</v>
      </c>
      <c r="M11" s="133">
        <f t="shared" si="1"/>
        <v>128632.9663</v>
      </c>
      <c r="N11" s="133">
        <f t="shared" si="1"/>
        <v>130562.4608</v>
      </c>
    </row>
    <row r="12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</row>
    <row r="13">
      <c r="A13" s="128" t="s">
        <v>187</v>
      </c>
    </row>
    <row r="14">
      <c r="A14" s="129" t="s">
        <v>188</v>
      </c>
      <c r="B14" s="130">
        <f>300*12+400*12</f>
        <v>8400</v>
      </c>
      <c r="C14" s="117">
        <f>B14*(1+Assumptions!$B$60)</f>
        <v>8526</v>
      </c>
      <c r="D14" s="117">
        <f>C14*(1+Assumptions!$B$60)</f>
        <v>8653.89</v>
      </c>
      <c r="E14" s="117">
        <f>D14*(1+Assumptions!$B$60)</f>
        <v>8783.69835</v>
      </c>
      <c r="F14" s="117">
        <f>E14*(1+Assumptions!$B$60)</f>
        <v>8915.453825</v>
      </c>
      <c r="G14" s="117">
        <f>F14*(1+Assumptions!$B$60)</f>
        <v>9049.185633</v>
      </c>
      <c r="H14" s="117">
        <f>G14*(1+Assumptions!$B$60)</f>
        <v>9184.923417</v>
      </c>
      <c r="I14" s="117">
        <f>H14*(1+Assumptions!$B$60)</f>
        <v>9322.697268</v>
      </c>
      <c r="J14" s="117">
        <f>I14*(1+Assumptions!$B$60)</f>
        <v>9462.537727</v>
      </c>
      <c r="K14" s="117">
        <f>J14*(1+Assumptions!$B$60)</f>
        <v>9604.475793</v>
      </c>
      <c r="L14" s="117">
        <f>K14*(1+Assumptions!$B$60)</f>
        <v>9748.54293</v>
      </c>
      <c r="M14" s="117">
        <f>L14*(1+Assumptions!$B$60)</f>
        <v>9894.771074</v>
      </c>
      <c r="N14" s="117">
        <f>M14*(1+Assumptions!$B$60)</f>
        <v>10043.19264</v>
      </c>
    </row>
    <row r="15">
      <c r="A15" s="113" t="s">
        <v>189</v>
      </c>
      <c r="B15" s="117">
        <v>17000.0</v>
      </c>
      <c r="C15" s="117">
        <f>B15*(1+Assumptions!$B$60)</f>
        <v>17255</v>
      </c>
      <c r="D15" s="117">
        <f>C15*(1+Assumptions!$B$60)</f>
        <v>17513.825</v>
      </c>
      <c r="E15" s="117">
        <f>D15*(1+Assumptions!$B$60)</f>
        <v>17776.53238</v>
      </c>
      <c r="F15" s="117">
        <f>E15*(1+Assumptions!$B$60)</f>
        <v>18043.18036</v>
      </c>
      <c r="G15" s="117">
        <f>F15*(1+Assumptions!$B$60)</f>
        <v>18313.82807</v>
      </c>
      <c r="H15" s="117">
        <f>G15*(1+Assumptions!$B$60)</f>
        <v>18588.53549</v>
      </c>
      <c r="I15" s="117">
        <f>H15*(1+Assumptions!$B$60)</f>
        <v>18867.36352</v>
      </c>
      <c r="J15" s="117">
        <f>I15*(1+Assumptions!$B$60)</f>
        <v>19150.37397</v>
      </c>
      <c r="K15" s="117">
        <f>J15*(1+Assumptions!$B$60)</f>
        <v>19437.62958</v>
      </c>
      <c r="L15" s="117">
        <f>K15*(1+Assumptions!$B$60)</f>
        <v>19729.19403</v>
      </c>
      <c r="M15" s="117">
        <f>L15*(1+Assumptions!$B$60)</f>
        <v>20025.13194</v>
      </c>
      <c r="N15" s="117">
        <f>M15*(1+Assumptions!$B$60)</f>
        <v>20325.50891</v>
      </c>
    </row>
    <row r="16">
      <c r="A16" s="113" t="s">
        <v>77</v>
      </c>
      <c r="B16" s="117">
        <v>15000.0</v>
      </c>
      <c r="C16" s="117">
        <f>B16*(1+Assumptions!$B$60)</f>
        <v>15225</v>
      </c>
      <c r="D16" s="117">
        <f>C16*(1+Assumptions!$B$60)</f>
        <v>15453.375</v>
      </c>
      <c r="E16" s="117">
        <f>D16*(1+Assumptions!$B$60)</f>
        <v>15685.17563</v>
      </c>
      <c r="F16" s="117">
        <f>E16*(1+Assumptions!$B$60)</f>
        <v>15920.45326</v>
      </c>
      <c r="G16" s="117">
        <f>F16*(1+Assumptions!$B$60)</f>
        <v>16159.26006</v>
      </c>
      <c r="H16" s="117">
        <f>G16*(1+Assumptions!$B$60)</f>
        <v>16401.64896</v>
      </c>
      <c r="I16" s="117">
        <f>H16*(1+Assumptions!$B$60)</f>
        <v>16647.67369</v>
      </c>
      <c r="J16" s="117">
        <f>I16*(1+Assumptions!$B$60)</f>
        <v>16897.3888</v>
      </c>
      <c r="K16" s="117">
        <f>J16*(1+Assumptions!$B$60)</f>
        <v>17150.84963</v>
      </c>
      <c r="L16" s="117">
        <f>K16*(1+Assumptions!$B$60)</f>
        <v>17408.11238</v>
      </c>
      <c r="M16" s="117">
        <f>L16*(1+Assumptions!$B$60)</f>
        <v>17669.23406</v>
      </c>
      <c r="N16" s="117">
        <f>M16*(1+Assumptions!$B$60)</f>
        <v>17934.27257</v>
      </c>
    </row>
    <row r="17">
      <c r="A17" s="113" t="s">
        <v>190</v>
      </c>
      <c r="B17" s="123">
        <v>12000.0</v>
      </c>
      <c r="C17" s="117">
        <f>B17*(1+Assumptions!$B$60)</f>
        <v>12180</v>
      </c>
      <c r="D17" s="117">
        <f>C17*(1+Assumptions!$B$60)</f>
        <v>12362.7</v>
      </c>
      <c r="E17" s="117">
        <f>D17*(1+Assumptions!$B$60)</f>
        <v>12548.1405</v>
      </c>
      <c r="F17" s="117">
        <f>E17*(1+Assumptions!$B$60)</f>
        <v>12736.36261</v>
      </c>
      <c r="G17" s="117">
        <f>F17*(1+Assumptions!$B$60)</f>
        <v>12927.40805</v>
      </c>
      <c r="H17" s="117">
        <f>G17*(1+Assumptions!$B$60)</f>
        <v>13121.31917</v>
      </c>
      <c r="I17" s="117">
        <f>H17*(1+Assumptions!$B$60)</f>
        <v>13318.13895</v>
      </c>
      <c r="J17" s="117">
        <f>I17*(1+Assumptions!$B$60)</f>
        <v>13517.91104</v>
      </c>
      <c r="K17" s="117">
        <f>J17*(1+Assumptions!$B$60)</f>
        <v>13720.6797</v>
      </c>
      <c r="L17" s="117">
        <f>K17*(1+Assumptions!$B$60)</f>
        <v>13926.4899</v>
      </c>
      <c r="M17" s="117">
        <f>L17*(1+Assumptions!$B$60)</f>
        <v>14135.38725</v>
      </c>
      <c r="N17" s="117">
        <f>M17*(1+Assumptions!$B$60)</f>
        <v>14347.41806</v>
      </c>
    </row>
    <row r="18">
      <c r="A18" s="113" t="s">
        <v>191</v>
      </c>
      <c r="B18" s="123">
        <v>15000.0</v>
      </c>
      <c r="C18" s="117">
        <f>B18*(1+Assumptions!$B$60)</f>
        <v>15225</v>
      </c>
      <c r="D18" s="117">
        <f>C18*(1+Assumptions!$B$60)</f>
        <v>15453.375</v>
      </c>
      <c r="E18" s="117">
        <f>D18*(1+Assumptions!$B$60)</f>
        <v>15685.17563</v>
      </c>
      <c r="F18" s="117">
        <f>E18*(1+Assumptions!$B$60)</f>
        <v>15920.45326</v>
      </c>
      <c r="G18" s="117">
        <f>F18*(1+Assumptions!$B$60)</f>
        <v>16159.26006</v>
      </c>
      <c r="H18" s="117">
        <f>G18*(1+Assumptions!$B$60)</f>
        <v>16401.64896</v>
      </c>
      <c r="I18" s="117">
        <f>H18*(1+Assumptions!$B$60)</f>
        <v>16647.67369</v>
      </c>
      <c r="J18" s="117">
        <f>I18*(1+Assumptions!$B$60)</f>
        <v>16897.3888</v>
      </c>
      <c r="K18" s="117">
        <f>J18*(1+Assumptions!$B$60)</f>
        <v>17150.84963</v>
      </c>
      <c r="L18" s="117">
        <f>K18*(1+Assumptions!$B$60)</f>
        <v>17408.11238</v>
      </c>
      <c r="M18" s="117">
        <f>L18*(1+Assumptions!$B$60)</f>
        <v>17669.23406</v>
      </c>
      <c r="N18" s="117">
        <f>M18*(1+Assumptions!$B$60)</f>
        <v>17934.27257</v>
      </c>
    </row>
    <row r="19">
      <c r="A19" s="113" t="s">
        <v>192</v>
      </c>
      <c r="B19" s="117">
        <v>11000.0</v>
      </c>
      <c r="C19" s="117">
        <f>B19*(1+Assumptions!$B$60)</f>
        <v>11165</v>
      </c>
      <c r="D19" s="117">
        <f>C19*(1+Assumptions!$B$60)</f>
        <v>11332.475</v>
      </c>
      <c r="E19" s="117">
        <f>D19*(1+Assumptions!$B$60)</f>
        <v>11502.46213</v>
      </c>
      <c r="F19" s="117">
        <f>E19*(1+Assumptions!$B$60)</f>
        <v>11674.99906</v>
      </c>
      <c r="G19" s="117">
        <f>F19*(1+Assumptions!$B$60)</f>
        <v>11850.12404</v>
      </c>
      <c r="H19" s="117">
        <f>G19*(1+Assumptions!$B$60)</f>
        <v>12027.8759</v>
      </c>
      <c r="I19" s="117">
        <f>H19*(1+Assumptions!$B$60)</f>
        <v>12208.29404</v>
      </c>
      <c r="J19" s="117">
        <f>I19*(1+Assumptions!$B$60)</f>
        <v>12391.41845</v>
      </c>
      <c r="K19" s="117">
        <f>J19*(1+Assumptions!$B$60)</f>
        <v>12577.28973</v>
      </c>
      <c r="L19" s="117">
        <f>K19*(1+Assumptions!$B$60)</f>
        <v>12765.94908</v>
      </c>
      <c r="M19" s="117">
        <f>L19*(1+Assumptions!$B$60)</f>
        <v>12957.43831</v>
      </c>
      <c r="N19" s="117">
        <f>M19*(1+Assumptions!$B$60)</f>
        <v>13151.79989</v>
      </c>
    </row>
    <row r="20">
      <c r="A20" s="132" t="s">
        <v>193</v>
      </c>
      <c r="B20" s="133">
        <f t="shared" ref="B20:N20" si="2">SUM(B14:B19)</f>
        <v>78400</v>
      </c>
      <c r="C20" s="133">
        <f t="shared" si="2"/>
        <v>79576</v>
      </c>
      <c r="D20" s="133">
        <f t="shared" si="2"/>
        <v>80769.64</v>
      </c>
      <c r="E20" s="133">
        <f t="shared" si="2"/>
        <v>81981.1846</v>
      </c>
      <c r="F20" s="133">
        <f t="shared" si="2"/>
        <v>83210.90237</v>
      </c>
      <c r="G20" s="133">
        <f t="shared" si="2"/>
        <v>84459.0659</v>
      </c>
      <c r="H20" s="133">
        <f t="shared" si="2"/>
        <v>85725.95189</v>
      </c>
      <c r="I20" s="133">
        <f t="shared" si="2"/>
        <v>87011.84117</v>
      </c>
      <c r="J20" s="133">
        <f t="shared" si="2"/>
        <v>88317.01879</v>
      </c>
      <c r="K20" s="133">
        <f t="shared" si="2"/>
        <v>89641.77407</v>
      </c>
      <c r="L20" s="133">
        <f t="shared" si="2"/>
        <v>90986.40068</v>
      </c>
      <c r="M20" s="133">
        <f t="shared" si="2"/>
        <v>92351.19669</v>
      </c>
      <c r="N20" s="133">
        <f t="shared" si="2"/>
        <v>93736.46464</v>
      </c>
    </row>
    <row r="21" ht="15.75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</row>
    <row r="22" ht="15.75" customHeight="1">
      <c r="A22" s="128" t="s">
        <v>194</v>
      </c>
      <c r="B22" s="117">
        <v>78000.0</v>
      </c>
      <c r="C22" s="117">
        <v>78000.0</v>
      </c>
      <c r="D22" s="117">
        <v>70000.0</v>
      </c>
      <c r="E22" s="117">
        <v>65000.0</v>
      </c>
      <c r="F22" s="117">
        <v>60000.0</v>
      </c>
      <c r="G22" s="117">
        <v>50000.0</v>
      </c>
      <c r="H22" s="117">
        <v>45000.0</v>
      </c>
      <c r="I22" s="117">
        <v>45000.0</v>
      </c>
      <c r="J22" s="117">
        <v>45000.0</v>
      </c>
      <c r="K22" s="117">
        <v>45000.0</v>
      </c>
      <c r="L22" s="117">
        <v>45000.0</v>
      </c>
      <c r="M22" s="117">
        <v>45000.0</v>
      </c>
      <c r="N22" s="117">
        <v>45000.0</v>
      </c>
    </row>
    <row r="23" ht="15.75" customHeight="1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</row>
    <row r="24" ht="15.75" customHeight="1">
      <c r="A24" s="136" t="s">
        <v>195</v>
      </c>
    </row>
    <row r="25" ht="15.75" customHeight="1">
      <c r="A25" s="137" t="s">
        <v>196</v>
      </c>
      <c r="B25" s="130">
        <f>'Debt Stack'!E50</f>
        <v>-27300</v>
      </c>
      <c r="C25" s="130">
        <f>'Debt Stack'!F50</f>
        <v>-25200</v>
      </c>
      <c r="D25" s="130">
        <f>'Debt Stack'!G50</f>
        <v>-23100</v>
      </c>
      <c r="E25" s="130">
        <f>'Debt Stack'!H50</f>
        <v>-21000</v>
      </c>
      <c r="F25" s="130">
        <f>'Debt Stack'!I50</f>
        <v>-18900</v>
      </c>
      <c r="G25" s="130">
        <f>'Debt Stack'!J50</f>
        <v>-16800</v>
      </c>
      <c r="H25" s="130">
        <f>'Debt Stack'!K50</f>
        <v>-14700</v>
      </c>
      <c r="I25" s="130">
        <f>'Debt Stack'!L50</f>
        <v>-12600</v>
      </c>
      <c r="J25" s="130">
        <f>'Debt Stack'!M50</f>
        <v>-10500</v>
      </c>
      <c r="K25" s="130">
        <f>'Debt Stack'!N50</f>
        <v>-8400</v>
      </c>
      <c r="L25" s="130">
        <f>'Debt Stack'!O50</f>
        <v>-6300</v>
      </c>
      <c r="M25" s="130">
        <f>'Debt Stack'!P50</f>
        <v>-4200</v>
      </c>
      <c r="N25" s="130">
        <f>'Debt Stack'!Q50</f>
        <v>-2100</v>
      </c>
    </row>
    <row r="26" ht="15.75" customHeight="1">
      <c r="A26" s="13" t="s">
        <v>197</v>
      </c>
      <c r="B26" s="130">
        <f>'Debt Stack'!E48</f>
        <v>-42554.05487</v>
      </c>
      <c r="C26" s="130">
        <f>'Debt Stack'!F48</f>
        <v>-19671.5625</v>
      </c>
      <c r="D26" s="130">
        <f>'Debt Stack'!G48</f>
        <v>-11905.14063</v>
      </c>
      <c r="E26" s="130">
        <f>'Debt Stack'!H48</f>
        <v>0</v>
      </c>
      <c r="F26" s="130">
        <f>'Debt Stack'!I48</f>
        <v>0</v>
      </c>
      <c r="G26" s="130">
        <f>'Debt Stack'!J48</f>
        <v>0</v>
      </c>
      <c r="H26" s="130">
        <f>'Debt Stack'!K48</f>
        <v>0</v>
      </c>
      <c r="I26" s="130">
        <f>'Debt Stack'!L48</f>
        <v>0</v>
      </c>
      <c r="J26" s="130">
        <f>'Debt Stack'!M48</f>
        <v>0</v>
      </c>
      <c r="K26" s="130">
        <f>'Debt Stack'!N48</f>
        <v>0</v>
      </c>
      <c r="L26" s="130">
        <f>'Debt Stack'!O48</f>
        <v>0</v>
      </c>
      <c r="M26" s="130">
        <f>'Debt Stack'!P48</f>
        <v>0</v>
      </c>
      <c r="N26" s="130">
        <f>'Debt Stack'!Q48</f>
        <v>0</v>
      </c>
    </row>
    <row r="27" ht="15.75" customHeight="1">
      <c r="A27" s="132" t="s">
        <v>198</v>
      </c>
      <c r="B27" s="133">
        <f t="shared" ref="B27:N27" si="3">SUM(B25:B26)</f>
        <v>-69854.05487</v>
      </c>
      <c r="C27" s="133">
        <f t="shared" si="3"/>
        <v>-44871.5625</v>
      </c>
      <c r="D27" s="133">
        <f t="shared" si="3"/>
        <v>-35005.14063</v>
      </c>
      <c r="E27" s="133">
        <f t="shared" si="3"/>
        <v>-21000</v>
      </c>
      <c r="F27" s="133">
        <f t="shared" si="3"/>
        <v>-18900</v>
      </c>
      <c r="G27" s="133">
        <f t="shared" si="3"/>
        <v>-16800</v>
      </c>
      <c r="H27" s="133">
        <f t="shared" si="3"/>
        <v>-14700</v>
      </c>
      <c r="I27" s="133">
        <f t="shared" si="3"/>
        <v>-12600</v>
      </c>
      <c r="J27" s="133">
        <f t="shared" si="3"/>
        <v>-10500</v>
      </c>
      <c r="K27" s="133">
        <f t="shared" si="3"/>
        <v>-8400</v>
      </c>
      <c r="L27" s="133">
        <f t="shared" si="3"/>
        <v>-6300</v>
      </c>
      <c r="M27" s="133">
        <f t="shared" si="3"/>
        <v>-4200</v>
      </c>
      <c r="N27" s="133">
        <f t="shared" si="3"/>
        <v>-2100</v>
      </c>
    </row>
    <row r="28" ht="15.75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</row>
    <row r="29" ht="15.75" customHeight="1">
      <c r="A29" s="128" t="s">
        <v>199</v>
      </c>
      <c r="B29" s="117">
        <f t="shared" ref="B29:N29" si="4">B5+B11+B20+B22+B27</f>
        <v>414660.4951</v>
      </c>
      <c r="C29" s="117">
        <f t="shared" si="4"/>
        <v>446835.2745</v>
      </c>
      <c r="D29" s="117">
        <f t="shared" si="4"/>
        <v>456023.7591</v>
      </c>
      <c r="E29" s="117">
        <f t="shared" si="4"/>
        <v>472483.1225</v>
      </c>
      <c r="F29" s="117">
        <f t="shared" si="4"/>
        <v>477171.9345</v>
      </c>
      <c r="G29" s="117">
        <f t="shared" si="4"/>
        <v>476997.8099</v>
      </c>
      <c r="H29" s="117">
        <f t="shared" si="4"/>
        <v>481963.2694</v>
      </c>
      <c r="I29" s="117">
        <f t="shared" si="4"/>
        <v>492070.8806</v>
      </c>
      <c r="J29" s="117">
        <f t="shared" si="4"/>
        <v>502323.2593</v>
      </c>
      <c r="K29" s="117">
        <f t="shared" si="4"/>
        <v>512723.0699</v>
      </c>
      <c r="L29" s="117">
        <f t="shared" si="4"/>
        <v>523273.0269</v>
      </c>
      <c r="M29" s="117">
        <f t="shared" si="4"/>
        <v>533975.8955</v>
      </c>
      <c r="N29" s="117">
        <f t="shared" si="4"/>
        <v>544834.4926</v>
      </c>
    </row>
  </sheetData>
  <mergeCells count="1">
    <mergeCell ref="A1:N1"/>
  </mergeCell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11" width="13.0"/>
    <col customWidth="1" min="12" max="14" width="14.57"/>
  </cols>
  <sheetData>
    <row r="1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112" t="s">
        <v>148</v>
      </c>
      <c r="B3" s="112">
        <v>2028.0</v>
      </c>
      <c r="C3" s="112">
        <v>2029.0</v>
      </c>
      <c r="D3" s="112">
        <v>2030.0</v>
      </c>
      <c r="E3" s="112">
        <v>2031.0</v>
      </c>
      <c r="F3" s="112">
        <v>2032.0</v>
      </c>
      <c r="G3" s="112">
        <v>2033.0</v>
      </c>
      <c r="H3" s="112">
        <v>2034.0</v>
      </c>
      <c r="I3" s="112">
        <v>2035.0</v>
      </c>
      <c r="J3" s="112">
        <v>2036.0</v>
      </c>
      <c r="K3" s="112">
        <v>2037.0</v>
      </c>
      <c r="L3" s="112">
        <v>2038.0</v>
      </c>
      <c r="M3" s="112">
        <v>2039.0</v>
      </c>
      <c r="N3" s="112">
        <v>2040.0</v>
      </c>
    </row>
    <row r="4">
      <c r="A4" s="113" t="s">
        <v>201</v>
      </c>
      <c r="B4" s="117">
        <f>Revenue!B46</f>
        <v>652865.5333</v>
      </c>
      <c r="C4" s="117">
        <f>Revenue!C46</f>
        <v>701130.088</v>
      </c>
      <c r="D4" s="117">
        <f>Revenue!D46</f>
        <v>752345.5746</v>
      </c>
      <c r="E4" s="117">
        <f>Revenue!E46</f>
        <v>800814.4827</v>
      </c>
      <c r="F4" s="117">
        <f>Revenue!F46</f>
        <v>843452.0564</v>
      </c>
      <c r="G4" s="117">
        <f>Revenue!G46</f>
        <v>889088.0843</v>
      </c>
      <c r="H4" s="117">
        <f>Revenue!H46</f>
        <v>937954.1916</v>
      </c>
      <c r="I4" s="117">
        <f>Revenue!I46</f>
        <v>990300.3688</v>
      </c>
      <c r="J4" s="117">
        <f>Revenue!J46</f>
        <v>1046396.437</v>
      </c>
      <c r="K4" s="117">
        <f>Revenue!K46</f>
        <v>1106533.631</v>
      </c>
      <c r="L4" s="117">
        <f>Revenue!L46</f>
        <v>1171026.311</v>
      </c>
      <c r="M4" s="117">
        <f>Revenue!M46</f>
        <v>1240213.805</v>
      </c>
      <c r="N4" s="117">
        <f>Revenue!N46</f>
        <v>1314462.406</v>
      </c>
    </row>
    <row r="5">
      <c r="A5" s="113" t="s">
        <v>202</v>
      </c>
      <c r="B5" s="117">
        <f>Costs!B11</f>
        <v>109200.8</v>
      </c>
      <c r="C5" s="117">
        <f>Costs!C11</f>
        <v>110838.812</v>
      </c>
      <c r="D5" s="117">
        <f>Costs!D11</f>
        <v>112501.3942</v>
      </c>
      <c r="E5" s="117">
        <f>Costs!E11</f>
        <v>114188.9151</v>
      </c>
      <c r="F5" s="117">
        <f>Costs!F11</f>
        <v>115901.7488</v>
      </c>
      <c r="G5" s="117">
        <f>Costs!G11</f>
        <v>117640.2751</v>
      </c>
      <c r="H5" s="117">
        <f>Costs!H11</f>
        <v>119404.8792</v>
      </c>
      <c r="I5" s="117">
        <f>Costs!I11</f>
        <v>121195.9524</v>
      </c>
      <c r="J5" s="117">
        <f>Costs!J11</f>
        <v>123013.8917</v>
      </c>
      <c r="K5" s="117">
        <f>Costs!K11</f>
        <v>124859.1</v>
      </c>
      <c r="L5" s="117">
        <f>Costs!L11</f>
        <v>126731.9865</v>
      </c>
      <c r="M5" s="117">
        <f>Costs!M11</f>
        <v>128632.9663</v>
      </c>
      <c r="N5" s="117">
        <f>Costs!N11</f>
        <v>130562.4608</v>
      </c>
    </row>
    <row r="6">
      <c r="A6" s="134" t="s">
        <v>203</v>
      </c>
      <c r="B6" s="119">
        <f t="shared" ref="B6:N6" si="1">B4-B5</f>
        <v>543664.7333</v>
      </c>
      <c r="C6" s="119">
        <f t="shared" si="1"/>
        <v>590291.276</v>
      </c>
      <c r="D6" s="119">
        <f t="shared" si="1"/>
        <v>639844.1805</v>
      </c>
      <c r="E6" s="119">
        <f t="shared" si="1"/>
        <v>686625.5676</v>
      </c>
      <c r="F6" s="119">
        <f t="shared" si="1"/>
        <v>727550.3076</v>
      </c>
      <c r="G6" s="119">
        <f t="shared" si="1"/>
        <v>771447.8092</v>
      </c>
      <c r="H6" s="119">
        <f t="shared" si="1"/>
        <v>818549.3124</v>
      </c>
      <c r="I6" s="119">
        <f t="shared" si="1"/>
        <v>869104.4164</v>
      </c>
      <c r="J6" s="119">
        <f t="shared" si="1"/>
        <v>923382.5453</v>
      </c>
      <c r="K6" s="119">
        <f t="shared" si="1"/>
        <v>981674.5313</v>
      </c>
      <c r="L6" s="119">
        <f t="shared" si="1"/>
        <v>1044294.324</v>
      </c>
      <c r="M6" s="119">
        <f t="shared" si="1"/>
        <v>1111580.838</v>
      </c>
      <c r="N6" s="119">
        <f t="shared" si="1"/>
        <v>1183899.945</v>
      </c>
    </row>
    <row r="8">
      <c r="A8" s="113" t="s">
        <v>204</v>
      </c>
      <c r="B8" s="117">
        <f>Costs!B5</f>
        <v>218913.75</v>
      </c>
      <c r="C8" s="117">
        <f>Costs!C5</f>
        <v>223292.025</v>
      </c>
      <c r="D8" s="117">
        <f>Costs!D5</f>
        <v>227757.8655</v>
      </c>
      <c r="E8" s="117">
        <f>Costs!E5</f>
        <v>232313.0228</v>
      </c>
      <c r="F8" s="117">
        <f>Costs!F5</f>
        <v>236959.2833</v>
      </c>
      <c r="G8" s="117">
        <f>Costs!G5</f>
        <v>241698.4689</v>
      </c>
      <c r="H8" s="117">
        <f>Costs!H5</f>
        <v>246532.4383</v>
      </c>
      <c r="I8" s="117">
        <f>Costs!I5</f>
        <v>251463.0871</v>
      </c>
      <c r="J8" s="117">
        <f>Costs!J5</f>
        <v>256492.3488</v>
      </c>
      <c r="K8" s="117">
        <f>Costs!K5</f>
        <v>261622.1958</v>
      </c>
      <c r="L8" s="117">
        <f>Costs!L5</f>
        <v>266854.6397</v>
      </c>
      <c r="M8" s="117">
        <f>Costs!M5</f>
        <v>272191.7325</v>
      </c>
      <c r="N8" s="117">
        <f>Costs!N5</f>
        <v>277635.5672</v>
      </c>
    </row>
    <row r="9">
      <c r="A9" s="113" t="s">
        <v>205</v>
      </c>
      <c r="B9" s="117">
        <f>Costs!B20</f>
        <v>78400</v>
      </c>
      <c r="C9" s="117">
        <f>Costs!C20</f>
        <v>79576</v>
      </c>
      <c r="D9" s="117">
        <f>Costs!D20</f>
        <v>80769.64</v>
      </c>
      <c r="E9" s="117">
        <f>Costs!E20</f>
        <v>81981.1846</v>
      </c>
      <c r="F9" s="117">
        <f>Costs!F20</f>
        <v>83210.90237</v>
      </c>
      <c r="G9" s="117">
        <f>Costs!G20</f>
        <v>84459.0659</v>
      </c>
      <c r="H9" s="117">
        <f>Costs!H20</f>
        <v>85725.95189</v>
      </c>
      <c r="I9" s="117">
        <f>Costs!I20</f>
        <v>87011.84117</v>
      </c>
      <c r="J9" s="117">
        <f>Costs!J20</f>
        <v>88317.01879</v>
      </c>
      <c r="K9" s="117">
        <f>Costs!K20</f>
        <v>89641.77407</v>
      </c>
      <c r="L9" s="117">
        <f>Costs!L20</f>
        <v>90986.40068</v>
      </c>
      <c r="M9" s="117">
        <f>Costs!M20</f>
        <v>92351.19669</v>
      </c>
      <c r="N9" s="117">
        <f>Costs!N20</f>
        <v>93736.46464</v>
      </c>
    </row>
    <row r="10">
      <c r="A10" s="134" t="s">
        <v>137</v>
      </c>
      <c r="B10" s="119">
        <f t="shared" ref="B10:N10" si="2">B6-B8-B9</f>
        <v>246350.9833</v>
      </c>
      <c r="C10" s="119">
        <f t="shared" si="2"/>
        <v>287423.251</v>
      </c>
      <c r="D10" s="119">
        <f t="shared" si="2"/>
        <v>331316.675</v>
      </c>
      <c r="E10" s="119">
        <f t="shared" si="2"/>
        <v>372331.3602</v>
      </c>
      <c r="F10" s="119">
        <f t="shared" si="2"/>
        <v>407380.1219</v>
      </c>
      <c r="G10" s="119">
        <f t="shared" si="2"/>
        <v>445290.2744</v>
      </c>
      <c r="H10" s="119">
        <f t="shared" si="2"/>
        <v>486290.9222</v>
      </c>
      <c r="I10" s="119">
        <f t="shared" si="2"/>
        <v>530629.4882</v>
      </c>
      <c r="J10" s="119">
        <f t="shared" si="2"/>
        <v>578573.1777</v>
      </c>
      <c r="K10" s="119">
        <f t="shared" si="2"/>
        <v>630410.5615</v>
      </c>
      <c r="L10" s="119">
        <f t="shared" si="2"/>
        <v>686453.284</v>
      </c>
      <c r="M10" s="119">
        <f t="shared" si="2"/>
        <v>747037.9091</v>
      </c>
      <c r="N10" s="119">
        <f t="shared" si="2"/>
        <v>812527.9129</v>
      </c>
    </row>
    <row r="11">
      <c r="A11" s="115" t="s">
        <v>206</v>
      </c>
      <c r="B11" s="115">
        <f t="shared" ref="B11:N11" si="3">B10/B4</f>
        <v>0.3773380134</v>
      </c>
      <c r="C11" s="115">
        <f t="shared" si="3"/>
        <v>0.4099428279</v>
      </c>
      <c r="D11" s="115">
        <f t="shared" si="3"/>
        <v>0.440378313</v>
      </c>
      <c r="E11" s="115">
        <f t="shared" si="3"/>
        <v>0.4649408424</v>
      </c>
      <c r="F11" s="115">
        <f t="shared" si="3"/>
        <v>0.4829914384</v>
      </c>
      <c r="G11" s="115">
        <f t="shared" si="3"/>
        <v>0.5008393232</v>
      </c>
      <c r="H11" s="115">
        <f t="shared" si="3"/>
        <v>0.5184591386</v>
      </c>
      <c r="I11" s="115">
        <f t="shared" si="3"/>
        <v>0.5358268106</v>
      </c>
      <c r="J11" s="115">
        <f t="shared" si="3"/>
        <v>0.5529196749</v>
      </c>
      <c r="K11" s="115">
        <f t="shared" si="3"/>
        <v>0.5697165848</v>
      </c>
      <c r="L11" s="115">
        <f t="shared" si="3"/>
        <v>0.5861980022</v>
      </c>
      <c r="M11" s="115">
        <f t="shared" si="3"/>
        <v>0.6023460683</v>
      </c>
      <c r="N11" s="115">
        <f t="shared" si="3"/>
        <v>0.6181446571</v>
      </c>
    </row>
    <row r="13">
      <c r="A13" s="113" t="s">
        <v>207</v>
      </c>
      <c r="B13" s="117">
        <f>Costs!B22</f>
        <v>78000</v>
      </c>
      <c r="C13" s="117">
        <f>Costs!C22</f>
        <v>78000</v>
      </c>
      <c r="D13" s="117">
        <f>Costs!D22</f>
        <v>70000</v>
      </c>
      <c r="E13" s="117">
        <f>Costs!E22</f>
        <v>65000</v>
      </c>
      <c r="F13" s="117">
        <f>Costs!F22</f>
        <v>60000</v>
      </c>
      <c r="G13" s="117">
        <f>Costs!G22</f>
        <v>50000</v>
      </c>
      <c r="H13" s="117">
        <f>Costs!H22</f>
        <v>45000</v>
      </c>
      <c r="I13" s="117">
        <f>Costs!I22</f>
        <v>45000</v>
      </c>
      <c r="J13" s="117">
        <f>Costs!J22</f>
        <v>45000</v>
      </c>
      <c r="K13" s="117">
        <f>Costs!K22</f>
        <v>45000</v>
      </c>
      <c r="L13" s="117">
        <f>Costs!L22</f>
        <v>45000</v>
      </c>
      <c r="M13" s="117">
        <f>Costs!M22</f>
        <v>45000</v>
      </c>
      <c r="N13" s="117">
        <f>Costs!N22</f>
        <v>45000</v>
      </c>
    </row>
    <row r="14">
      <c r="A14" s="134" t="s">
        <v>208</v>
      </c>
      <c r="B14" s="119">
        <f t="shared" ref="B14:N14" si="4">B10-B13</f>
        <v>168350.9833</v>
      </c>
      <c r="C14" s="119">
        <f t="shared" si="4"/>
        <v>209423.251</v>
      </c>
      <c r="D14" s="119">
        <f t="shared" si="4"/>
        <v>261316.675</v>
      </c>
      <c r="E14" s="119">
        <f t="shared" si="4"/>
        <v>307331.3602</v>
      </c>
      <c r="F14" s="119">
        <f t="shared" si="4"/>
        <v>347380.1219</v>
      </c>
      <c r="G14" s="119">
        <f t="shared" si="4"/>
        <v>395290.2744</v>
      </c>
      <c r="H14" s="119">
        <f t="shared" si="4"/>
        <v>441290.9222</v>
      </c>
      <c r="I14" s="119">
        <f t="shared" si="4"/>
        <v>485629.4882</v>
      </c>
      <c r="J14" s="119">
        <f t="shared" si="4"/>
        <v>533573.1777</v>
      </c>
      <c r="K14" s="119">
        <f t="shared" si="4"/>
        <v>585410.5615</v>
      </c>
      <c r="L14" s="119">
        <f t="shared" si="4"/>
        <v>641453.284</v>
      </c>
      <c r="M14" s="119">
        <f t="shared" si="4"/>
        <v>702037.9091</v>
      </c>
      <c r="N14" s="119">
        <f t="shared" si="4"/>
        <v>767527.9129</v>
      </c>
    </row>
    <row r="16">
      <c r="A16" s="113" t="s">
        <v>209</v>
      </c>
      <c r="B16" s="117">
        <f>Costs!B27</f>
        <v>-69854.05487</v>
      </c>
      <c r="C16" s="117">
        <f>Costs!C27</f>
        <v>-44871.5625</v>
      </c>
      <c r="D16" s="117">
        <f>Costs!D27</f>
        <v>-35005.14063</v>
      </c>
      <c r="E16" s="117">
        <f>Costs!E27</f>
        <v>-21000</v>
      </c>
      <c r="F16" s="117">
        <f>Costs!F27</f>
        <v>-18900</v>
      </c>
      <c r="G16" s="117">
        <f>Costs!G27</f>
        <v>-16800</v>
      </c>
      <c r="H16" s="117">
        <f>Costs!H27</f>
        <v>-14700</v>
      </c>
      <c r="I16" s="117">
        <f>Costs!I27</f>
        <v>-12600</v>
      </c>
      <c r="J16" s="117">
        <f>Costs!J27</f>
        <v>-10500</v>
      </c>
      <c r="K16" s="117">
        <f>Costs!K27</f>
        <v>-8400</v>
      </c>
      <c r="L16" s="117">
        <f>Costs!L27</f>
        <v>-6300</v>
      </c>
      <c r="M16" s="117">
        <f>Costs!M27</f>
        <v>-4200</v>
      </c>
      <c r="N16" s="117">
        <f>Costs!N27</f>
        <v>-2100</v>
      </c>
    </row>
    <row r="17">
      <c r="A17" s="113" t="s">
        <v>210</v>
      </c>
      <c r="B17" s="117">
        <f t="shared" ref="B17:N17" si="5">B14-B16</f>
        <v>238205.0382</v>
      </c>
      <c r="C17" s="117">
        <f t="shared" si="5"/>
        <v>254294.8135</v>
      </c>
      <c r="D17" s="117">
        <f t="shared" si="5"/>
        <v>296321.8156</v>
      </c>
      <c r="E17" s="117">
        <f t="shared" si="5"/>
        <v>328331.3602</v>
      </c>
      <c r="F17" s="117">
        <f t="shared" si="5"/>
        <v>366280.1219</v>
      </c>
      <c r="G17" s="117">
        <f t="shared" si="5"/>
        <v>412090.2744</v>
      </c>
      <c r="H17" s="117">
        <f t="shared" si="5"/>
        <v>455990.9222</v>
      </c>
      <c r="I17" s="117">
        <f t="shared" si="5"/>
        <v>498229.4882</v>
      </c>
      <c r="J17" s="117">
        <f t="shared" si="5"/>
        <v>544073.1777</v>
      </c>
      <c r="K17" s="117">
        <f t="shared" si="5"/>
        <v>593810.5615</v>
      </c>
      <c r="L17" s="117">
        <f t="shared" si="5"/>
        <v>647753.284</v>
      </c>
      <c r="M17" s="117">
        <f t="shared" si="5"/>
        <v>706237.9091</v>
      </c>
      <c r="N17" s="117">
        <f t="shared" si="5"/>
        <v>769627.9129</v>
      </c>
    </row>
    <row r="18">
      <c r="A18" s="113" t="s">
        <v>211</v>
      </c>
      <c r="B18" s="117">
        <f t="shared" ref="B18:N18" si="6">MAX(0,B17*0.21)</f>
        <v>50023.05802</v>
      </c>
      <c r="C18" s="117">
        <f t="shared" si="6"/>
        <v>53401.91084</v>
      </c>
      <c r="D18" s="117">
        <f t="shared" si="6"/>
        <v>62227.58127</v>
      </c>
      <c r="E18" s="117">
        <f t="shared" si="6"/>
        <v>68949.58564</v>
      </c>
      <c r="F18" s="117">
        <f t="shared" si="6"/>
        <v>76918.82561</v>
      </c>
      <c r="G18" s="117">
        <f t="shared" si="6"/>
        <v>86538.95762</v>
      </c>
      <c r="H18" s="117">
        <f t="shared" si="6"/>
        <v>95758.09367</v>
      </c>
      <c r="I18" s="117">
        <f t="shared" si="6"/>
        <v>104628.1925</v>
      </c>
      <c r="J18" s="117">
        <f t="shared" si="6"/>
        <v>114255.3673</v>
      </c>
      <c r="K18" s="117">
        <f t="shared" si="6"/>
        <v>124700.2179</v>
      </c>
      <c r="L18" s="117">
        <f t="shared" si="6"/>
        <v>136028.1896</v>
      </c>
      <c r="M18" s="117">
        <f t="shared" si="6"/>
        <v>148309.9609</v>
      </c>
      <c r="N18" s="117">
        <f t="shared" si="6"/>
        <v>161621.8617</v>
      </c>
    </row>
    <row r="19">
      <c r="A19" s="134" t="s">
        <v>212</v>
      </c>
      <c r="B19" s="119">
        <f t="shared" ref="B19:N19" si="7">B17-B18</f>
        <v>188181.9802</v>
      </c>
      <c r="C19" s="119">
        <f t="shared" si="7"/>
        <v>200892.9027</v>
      </c>
      <c r="D19" s="119">
        <f t="shared" si="7"/>
        <v>234094.2343</v>
      </c>
      <c r="E19" s="119">
        <f t="shared" si="7"/>
        <v>259381.7746</v>
      </c>
      <c r="F19" s="119">
        <f t="shared" si="7"/>
        <v>289361.2963</v>
      </c>
      <c r="G19" s="119">
        <f t="shared" si="7"/>
        <v>325551.3167</v>
      </c>
      <c r="H19" s="119">
        <f t="shared" si="7"/>
        <v>360232.8286</v>
      </c>
      <c r="I19" s="119">
        <f t="shared" si="7"/>
        <v>393601.2957</v>
      </c>
      <c r="J19" s="119">
        <f t="shared" si="7"/>
        <v>429817.8104</v>
      </c>
      <c r="K19" s="119">
        <f t="shared" si="7"/>
        <v>469110.3436</v>
      </c>
      <c r="L19" s="119">
        <f t="shared" si="7"/>
        <v>511725.0944</v>
      </c>
      <c r="M19" s="119">
        <f t="shared" si="7"/>
        <v>557927.9482</v>
      </c>
      <c r="N19" s="119">
        <f t="shared" si="7"/>
        <v>608006.0512</v>
      </c>
    </row>
    <row r="20">
      <c r="A20" s="115" t="s">
        <v>213</v>
      </c>
      <c r="B20" s="115">
        <f t="shared" ref="B20:N20" si="8">B19/B4</f>
        <v>0.2882400289</v>
      </c>
      <c r="C20" s="115">
        <f t="shared" si="8"/>
        <v>0.286527288</v>
      </c>
      <c r="D20" s="115">
        <f t="shared" si="8"/>
        <v>0.3111525371</v>
      </c>
      <c r="E20" s="115">
        <f t="shared" si="8"/>
        <v>0.3238974571</v>
      </c>
      <c r="F20" s="115">
        <f t="shared" si="8"/>
        <v>0.3430678651</v>
      </c>
      <c r="G20" s="115">
        <f t="shared" si="8"/>
        <v>0.3661631761</v>
      </c>
      <c r="H20" s="115">
        <f t="shared" si="8"/>
        <v>0.3840622834</v>
      </c>
      <c r="I20" s="115">
        <f t="shared" si="8"/>
        <v>0.3974564769</v>
      </c>
      <c r="J20" s="115">
        <f t="shared" si="8"/>
        <v>0.4107600095</v>
      </c>
      <c r="K20" s="115">
        <f t="shared" si="8"/>
        <v>0.4239458524</v>
      </c>
      <c r="L20" s="115">
        <f t="shared" si="8"/>
        <v>0.436988554</v>
      </c>
      <c r="M20" s="115">
        <f t="shared" si="8"/>
        <v>0.4498643267</v>
      </c>
      <c r="N20" s="115">
        <f t="shared" si="8"/>
        <v>0.4625511149</v>
      </c>
    </row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0"/>
    <col customWidth="1" min="2" max="16" width="12.43"/>
  </cols>
  <sheetData>
    <row r="1">
      <c r="A1" s="138" t="s">
        <v>214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40"/>
    </row>
    <row r="2">
      <c r="A2" s="141"/>
      <c r="B2" s="142"/>
      <c r="C2" s="142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68"/>
      <c r="O2" s="109"/>
      <c r="P2" s="109"/>
    </row>
    <row r="3">
      <c r="A3" s="144" t="s">
        <v>148</v>
      </c>
      <c r="B3" s="144">
        <v>2026.0</v>
      </c>
      <c r="C3" s="144">
        <v>2027.0</v>
      </c>
      <c r="D3" s="144">
        <v>2028.0</v>
      </c>
      <c r="E3" s="144">
        <v>2029.0</v>
      </c>
      <c r="F3" s="144">
        <v>2030.0</v>
      </c>
      <c r="G3" s="144">
        <v>2031.0</v>
      </c>
      <c r="H3" s="144">
        <v>2032.0</v>
      </c>
      <c r="I3" s="144">
        <v>2033.0</v>
      </c>
      <c r="J3" s="144">
        <v>2034.0</v>
      </c>
      <c r="K3" s="144">
        <v>2035.0</v>
      </c>
      <c r="L3" s="144">
        <v>2036.0</v>
      </c>
      <c r="M3" s="144">
        <v>2037.0</v>
      </c>
      <c r="N3" s="144">
        <v>2038.0</v>
      </c>
      <c r="O3" s="144">
        <v>2039.0</v>
      </c>
      <c r="P3" s="144">
        <v>2040.0</v>
      </c>
    </row>
    <row r="4">
      <c r="A4" s="145" t="s">
        <v>215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</row>
    <row r="5">
      <c r="A5" s="147" t="s">
        <v>216</v>
      </c>
      <c r="B5" s="81">
        <v>-10000.0</v>
      </c>
      <c r="C5" s="81">
        <v>50000.0</v>
      </c>
      <c r="D5" s="148">
        <f>PL!B19</f>
        <v>188181.9802</v>
      </c>
      <c r="E5" s="148">
        <f>PL!C19</f>
        <v>200892.9027</v>
      </c>
      <c r="F5" s="148">
        <f>PL!D19</f>
        <v>234094.2343</v>
      </c>
      <c r="G5" s="148">
        <f>PL!E19</f>
        <v>259381.7746</v>
      </c>
      <c r="H5" s="148">
        <f>PL!F19</f>
        <v>289361.2963</v>
      </c>
      <c r="I5" s="148">
        <f>PL!G19</f>
        <v>325551.3167</v>
      </c>
      <c r="J5" s="148">
        <f>PL!H19</f>
        <v>360232.8286</v>
      </c>
      <c r="K5" s="148">
        <f>PL!I19</f>
        <v>393601.2957</v>
      </c>
      <c r="L5" s="148">
        <f>PL!J19</f>
        <v>429817.8104</v>
      </c>
      <c r="M5" s="148">
        <f>PL!K19</f>
        <v>469110.3436</v>
      </c>
      <c r="N5" s="148">
        <f>PL!L19</f>
        <v>511725.0944</v>
      </c>
      <c r="O5" s="148">
        <f>PL!M19</f>
        <v>557927.9482</v>
      </c>
      <c r="P5" s="148">
        <f>PL!N19</f>
        <v>608006.0512</v>
      </c>
    </row>
    <row r="6">
      <c r="A6" s="147" t="s">
        <v>217</v>
      </c>
      <c r="B6" s="81">
        <v>0.0</v>
      </c>
      <c r="C6" s="81">
        <v>0.0</v>
      </c>
      <c r="D6" s="148">
        <f>PL!B13</f>
        <v>78000</v>
      </c>
      <c r="E6" s="148">
        <f>PL!C13</f>
        <v>78000</v>
      </c>
      <c r="F6" s="148">
        <f>PL!D13</f>
        <v>70000</v>
      </c>
      <c r="G6" s="148">
        <f>PL!E13</f>
        <v>65000</v>
      </c>
      <c r="H6" s="148">
        <f>PL!F13</f>
        <v>60000</v>
      </c>
      <c r="I6" s="148">
        <f>PL!G13</f>
        <v>50000</v>
      </c>
      <c r="J6" s="148">
        <f>PL!H13</f>
        <v>45000</v>
      </c>
      <c r="K6" s="148">
        <f>PL!I13</f>
        <v>45000</v>
      </c>
      <c r="L6" s="148">
        <f>PL!J13</f>
        <v>45000</v>
      </c>
      <c r="M6" s="148">
        <f>PL!K13</f>
        <v>45000</v>
      </c>
      <c r="N6" s="148">
        <f>PL!L13</f>
        <v>45000</v>
      </c>
      <c r="O6" s="148">
        <f>PL!M13</f>
        <v>45000</v>
      </c>
      <c r="P6" s="148">
        <f>PL!N13</f>
        <v>45000</v>
      </c>
    </row>
    <row r="7">
      <c r="A7" s="147" t="s">
        <v>218</v>
      </c>
      <c r="B7" s="81">
        <v>0.0</v>
      </c>
      <c r="C7" s="81">
        <v>0.0</v>
      </c>
      <c r="D7" s="148">
        <v>0.0</v>
      </c>
      <c r="E7" s="148">
        <v>0.0</v>
      </c>
      <c r="F7" s="148">
        <v>0.0</v>
      </c>
      <c r="G7" s="148">
        <v>0.0</v>
      </c>
      <c r="H7" s="148">
        <v>0.0</v>
      </c>
      <c r="I7" s="148">
        <v>0.0</v>
      </c>
      <c r="J7" s="148">
        <v>0.0</v>
      </c>
      <c r="K7" s="148">
        <v>0.0</v>
      </c>
      <c r="L7" s="148">
        <v>0.0</v>
      </c>
      <c r="M7" s="148">
        <v>0.0</v>
      </c>
      <c r="N7" s="148">
        <v>0.0</v>
      </c>
      <c r="O7" s="148">
        <v>0.0</v>
      </c>
      <c r="P7" s="148">
        <v>0.0</v>
      </c>
    </row>
    <row r="8">
      <c r="A8" s="149" t="s">
        <v>219</v>
      </c>
      <c r="B8" s="150">
        <f t="shared" ref="B8:P8" si="1">SUM(B5:B7)</f>
        <v>-10000</v>
      </c>
      <c r="C8" s="150">
        <f t="shared" si="1"/>
        <v>50000</v>
      </c>
      <c r="D8" s="150">
        <f t="shared" si="1"/>
        <v>266181.9802</v>
      </c>
      <c r="E8" s="150">
        <f t="shared" si="1"/>
        <v>278892.9027</v>
      </c>
      <c r="F8" s="150">
        <f t="shared" si="1"/>
        <v>304094.2343</v>
      </c>
      <c r="G8" s="150">
        <f t="shared" si="1"/>
        <v>324381.7746</v>
      </c>
      <c r="H8" s="150">
        <f t="shared" si="1"/>
        <v>349361.2963</v>
      </c>
      <c r="I8" s="150">
        <f t="shared" si="1"/>
        <v>375551.3167</v>
      </c>
      <c r="J8" s="150">
        <f t="shared" si="1"/>
        <v>405232.8286</v>
      </c>
      <c r="K8" s="150">
        <f t="shared" si="1"/>
        <v>438601.2957</v>
      </c>
      <c r="L8" s="150">
        <f t="shared" si="1"/>
        <v>474817.8104</v>
      </c>
      <c r="M8" s="150">
        <f t="shared" si="1"/>
        <v>514110.3436</v>
      </c>
      <c r="N8" s="150">
        <f t="shared" si="1"/>
        <v>556725.0944</v>
      </c>
      <c r="O8" s="150">
        <f t="shared" si="1"/>
        <v>602927.9482</v>
      </c>
      <c r="P8" s="150">
        <f t="shared" si="1"/>
        <v>653006.0512</v>
      </c>
    </row>
    <row r="9">
      <c r="A9" s="151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</row>
    <row r="10">
      <c r="A10" s="145" t="s">
        <v>220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</row>
    <row r="11">
      <c r="A11" s="78" t="s">
        <v>221</v>
      </c>
      <c r="B11" s="81">
        <v>-200000.0</v>
      </c>
      <c r="C11" s="81">
        <v>0.0</v>
      </c>
      <c r="D11" s="81">
        <v>0.0</v>
      </c>
      <c r="E11" s="81">
        <v>0.0</v>
      </c>
      <c r="F11" s="81">
        <v>0.0</v>
      </c>
      <c r="G11" s="81">
        <v>0.0</v>
      </c>
      <c r="H11" s="81">
        <v>0.0</v>
      </c>
      <c r="I11" s="81">
        <v>0.0</v>
      </c>
      <c r="J11" s="81">
        <v>0.0</v>
      </c>
      <c r="K11" s="81">
        <v>0.0</v>
      </c>
      <c r="L11" s="81">
        <v>0.0</v>
      </c>
      <c r="M11" s="81">
        <v>0.0</v>
      </c>
      <c r="N11" s="81">
        <v>0.0</v>
      </c>
      <c r="O11" s="81">
        <v>0.0</v>
      </c>
      <c r="P11" s="81">
        <v>0.0</v>
      </c>
    </row>
    <row r="12">
      <c r="A12" s="78" t="s">
        <v>222</v>
      </c>
      <c r="B12" s="81">
        <v>-850000.0</v>
      </c>
      <c r="C12" s="81">
        <v>-200000.0</v>
      </c>
      <c r="D12" s="154">
        <v>-50000.0</v>
      </c>
      <c r="E12" s="154">
        <v>-50000.0</v>
      </c>
      <c r="F12" s="154">
        <v>-50000.0</v>
      </c>
      <c r="G12" s="154">
        <v>-50000.0</v>
      </c>
      <c r="H12" s="154">
        <v>-50000.0</v>
      </c>
      <c r="I12" s="154">
        <v>-50000.0</v>
      </c>
      <c r="J12" s="154">
        <v>-50000.0</v>
      </c>
      <c r="K12" s="154">
        <v>-50000.0</v>
      </c>
      <c r="L12" s="154">
        <v>-50000.0</v>
      </c>
      <c r="M12" s="154">
        <v>-50000.0</v>
      </c>
      <c r="N12" s="154">
        <v>-50000.0</v>
      </c>
      <c r="O12" s="154">
        <v>-50000.0</v>
      </c>
      <c r="P12" s="154">
        <v>-50000.0</v>
      </c>
    </row>
    <row r="13">
      <c r="A13" s="78" t="s">
        <v>223</v>
      </c>
      <c r="B13" s="81">
        <v>-100000.0</v>
      </c>
      <c r="C13" s="81">
        <v>-50000.0</v>
      </c>
      <c r="D13" s="81">
        <v>0.0</v>
      </c>
      <c r="E13" s="81">
        <v>0.0</v>
      </c>
      <c r="F13" s="81">
        <v>0.0</v>
      </c>
      <c r="G13" s="81">
        <v>0.0</v>
      </c>
      <c r="H13" s="81">
        <v>0.0</v>
      </c>
      <c r="I13" s="81">
        <v>0.0</v>
      </c>
      <c r="J13" s="81">
        <v>0.0</v>
      </c>
      <c r="K13" s="81">
        <v>0.0</v>
      </c>
      <c r="L13" s="81">
        <v>0.0</v>
      </c>
      <c r="M13" s="81">
        <v>0.0</v>
      </c>
      <c r="N13" s="81">
        <v>0.0</v>
      </c>
      <c r="O13" s="81">
        <v>0.0</v>
      </c>
      <c r="P13" s="81">
        <v>0.0</v>
      </c>
    </row>
    <row r="14">
      <c r="A14" s="149" t="s">
        <v>224</v>
      </c>
      <c r="B14" s="150">
        <f t="shared" ref="B14:P14" si="2">Sum(B11:B13)</f>
        <v>-1150000</v>
      </c>
      <c r="C14" s="150">
        <f t="shared" si="2"/>
        <v>-250000</v>
      </c>
      <c r="D14" s="150">
        <f t="shared" si="2"/>
        <v>-50000</v>
      </c>
      <c r="E14" s="150">
        <f t="shared" si="2"/>
        <v>-50000</v>
      </c>
      <c r="F14" s="150">
        <f t="shared" si="2"/>
        <v>-50000</v>
      </c>
      <c r="G14" s="150">
        <f t="shared" si="2"/>
        <v>-50000</v>
      </c>
      <c r="H14" s="150">
        <f t="shared" si="2"/>
        <v>-50000</v>
      </c>
      <c r="I14" s="150">
        <f t="shared" si="2"/>
        <v>-50000</v>
      </c>
      <c r="J14" s="150">
        <f t="shared" si="2"/>
        <v>-50000</v>
      </c>
      <c r="K14" s="150">
        <f t="shared" si="2"/>
        <v>-50000</v>
      </c>
      <c r="L14" s="150">
        <f t="shared" si="2"/>
        <v>-50000</v>
      </c>
      <c r="M14" s="150">
        <f t="shared" si="2"/>
        <v>-50000</v>
      </c>
      <c r="N14" s="150">
        <f t="shared" si="2"/>
        <v>-50000</v>
      </c>
      <c r="O14" s="150">
        <f t="shared" si="2"/>
        <v>-50000</v>
      </c>
      <c r="P14" s="150">
        <f t="shared" si="2"/>
        <v>-50000</v>
      </c>
    </row>
    <row r="15">
      <c r="A15" s="151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</row>
    <row r="16">
      <c r="A16" s="145" t="s">
        <v>225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</row>
    <row r="17">
      <c r="A17" s="78" t="s">
        <v>226</v>
      </c>
      <c r="B17" s="26">
        <v>700000.0</v>
      </c>
      <c r="C17" s="81"/>
      <c r="D17" s="81"/>
      <c r="E17" s="148"/>
      <c r="F17" s="148"/>
      <c r="G17" s="148"/>
      <c r="H17" s="148"/>
      <c r="I17" s="148">
        <v>0.0</v>
      </c>
      <c r="J17" s="148">
        <v>0.0</v>
      </c>
      <c r="K17" s="148">
        <v>0.0</v>
      </c>
      <c r="L17" s="148">
        <v>0.0</v>
      </c>
      <c r="M17" s="148">
        <v>0.0</v>
      </c>
      <c r="N17" s="148">
        <v>0.0</v>
      </c>
      <c r="O17" s="148">
        <v>0.0</v>
      </c>
      <c r="P17" s="148">
        <v>0.0</v>
      </c>
    </row>
    <row r="18">
      <c r="A18" s="78" t="s">
        <v>227</v>
      </c>
      <c r="B18" s="154">
        <f>'Debt Stack'!C20</f>
        <v>-46666.66667</v>
      </c>
      <c r="C18" s="81">
        <f>'Debt Stack'!D20</f>
        <v>-46666.66667</v>
      </c>
      <c r="D18" s="81">
        <f>'Debt Stack'!E20</f>
        <v>-46666.66667</v>
      </c>
      <c r="E18" s="81">
        <f>'Debt Stack'!F20</f>
        <v>-46666.66667</v>
      </c>
      <c r="F18" s="81">
        <f>'Debt Stack'!G20</f>
        <v>-46666.66667</v>
      </c>
      <c r="G18" s="81">
        <f>'Debt Stack'!H20</f>
        <v>-46666.66667</v>
      </c>
      <c r="H18" s="81">
        <f>'Debt Stack'!I20</f>
        <v>-46666.66667</v>
      </c>
      <c r="I18" s="81">
        <f>'Debt Stack'!J20</f>
        <v>-46666.66667</v>
      </c>
      <c r="J18" s="81">
        <f>'Debt Stack'!K20</f>
        <v>-46666.66667</v>
      </c>
      <c r="K18" s="81">
        <f>'Debt Stack'!L20</f>
        <v>-46666.66667</v>
      </c>
      <c r="L18" s="81">
        <f>'Debt Stack'!M20</f>
        <v>-46666.66667</v>
      </c>
      <c r="M18" s="81">
        <f>'Debt Stack'!N20</f>
        <v>-46666.66667</v>
      </c>
      <c r="N18" s="81">
        <f>'Debt Stack'!O20</f>
        <v>-46666.66667</v>
      </c>
      <c r="O18" s="81">
        <f>'Debt Stack'!P20</f>
        <v>-46666.66667</v>
      </c>
      <c r="P18" s="81">
        <f>'Debt Stack'!Q20</f>
        <v>-46666.66667</v>
      </c>
    </row>
    <row r="19">
      <c r="A19" s="155" t="s">
        <v>228</v>
      </c>
      <c r="B19" s="156">
        <v>150000.0</v>
      </c>
      <c r="C19" s="157">
        <v>250000.0</v>
      </c>
      <c r="D19" s="157">
        <v>250000.0</v>
      </c>
      <c r="E19" s="158">
        <v>200000.0</v>
      </c>
      <c r="F19" s="148">
        <v>0.0</v>
      </c>
      <c r="G19" s="148">
        <v>0.0</v>
      </c>
      <c r="H19" s="148">
        <v>0.0</v>
      </c>
      <c r="I19" s="148">
        <v>0.0</v>
      </c>
      <c r="J19" s="148">
        <v>0.0</v>
      </c>
      <c r="K19" s="148">
        <v>0.0</v>
      </c>
      <c r="L19" s="148">
        <v>0.0</v>
      </c>
      <c r="M19" s="148">
        <v>0.0</v>
      </c>
      <c r="N19" s="148">
        <v>0.0</v>
      </c>
      <c r="O19" s="148">
        <v>0.0</v>
      </c>
      <c r="P19" s="148">
        <v>0.0</v>
      </c>
    </row>
    <row r="20">
      <c r="A20" s="78" t="s">
        <v>229</v>
      </c>
      <c r="B20" s="81">
        <f>'Debt Stack'!C32</f>
        <v>450000</v>
      </c>
      <c r="C20" s="81"/>
      <c r="D20" s="81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</row>
    <row r="21">
      <c r="A21" s="78" t="s">
        <v>230</v>
      </c>
      <c r="B21" s="81">
        <f>'Debt Stack'!C49</f>
        <v>-50000</v>
      </c>
      <c r="C21" s="81">
        <f>'Debt Stack'!D49</f>
        <v>0</v>
      </c>
      <c r="D21" s="81">
        <f>'Debt Stack'!E49</f>
        <v>-262489.5888</v>
      </c>
      <c r="E21" s="81">
        <f>'Debt Stack'!F49</f>
        <v>-150000</v>
      </c>
      <c r="F21" s="81">
        <f>'Debt Stack'!G49</f>
        <v>-250007.9531</v>
      </c>
      <c r="G21" s="81">
        <f>'Debt Stack'!H49</f>
        <v>0</v>
      </c>
      <c r="H21" s="81">
        <f>'Debt Stack'!I49</f>
        <v>0</v>
      </c>
      <c r="I21" s="81">
        <f>'Debt Stack'!J49</f>
        <v>0</v>
      </c>
      <c r="J21" s="81">
        <f>'Debt Stack'!K49</f>
        <v>0</v>
      </c>
      <c r="K21" s="81">
        <f>'Debt Stack'!L49</f>
        <v>0</v>
      </c>
      <c r="L21" s="81">
        <f>'Debt Stack'!M49</f>
        <v>0</v>
      </c>
      <c r="M21" s="81">
        <f>'Debt Stack'!N49</f>
        <v>0</v>
      </c>
      <c r="N21" s="81">
        <f>'Debt Stack'!O49</f>
        <v>0</v>
      </c>
      <c r="O21" s="81">
        <f>'Debt Stack'!P49</f>
        <v>0</v>
      </c>
      <c r="P21" s="81">
        <f>'Debt Stack'!Q49</f>
        <v>0</v>
      </c>
    </row>
    <row r="22">
      <c r="A22" s="149" t="s">
        <v>231</v>
      </c>
      <c r="B22" s="150">
        <f t="shared" ref="B22:P22" si="3">SUM(B17:B21)</f>
        <v>1203333.333</v>
      </c>
      <c r="C22" s="150">
        <f t="shared" si="3"/>
        <v>203333.3333</v>
      </c>
      <c r="D22" s="150">
        <f t="shared" si="3"/>
        <v>-59156.25544</v>
      </c>
      <c r="E22" s="150">
        <f t="shared" si="3"/>
        <v>3333.333333</v>
      </c>
      <c r="F22" s="150">
        <f t="shared" si="3"/>
        <v>-296674.6198</v>
      </c>
      <c r="G22" s="150">
        <f t="shared" si="3"/>
        <v>-46666.66667</v>
      </c>
      <c r="H22" s="150">
        <f t="shared" si="3"/>
        <v>-46666.66667</v>
      </c>
      <c r="I22" s="150">
        <f t="shared" si="3"/>
        <v>-46666.66667</v>
      </c>
      <c r="J22" s="150">
        <f t="shared" si="3"/>
        <v>-46666.66667</v>
      </c>
      <c r="K22" s="150">
        <f t="shared" si="3"/>
        <v>-46666.66667</v>
      </c>
      <c r="L22" s="150">
        <f t="shared" si="3"/>
        <v>-46666.66667</v>
      </c>
      <c r="M22" s="150">
        <f t="shared" si="3"/>
        <v>-46666.66667</v>
      </c>
      <c r="N22" s="150">
        <f t="shared" si="3"/>
        <v>-46666.66667</v>
      </c>
      <c r="O22" s="150">
        <f t="shared" si="3"/>
        <v>-46666.66667</v>
      </c>
      <c r="P22" s="150">
        <f t="shared" si="3"/>
        <v>-46666.66667</v>
      </c>
    </row>
    <row r="23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</row>
    <row r="24">
      <c r="A24" s="149" t="s">
        <v>232</v>
      </c>
      <c r="B24" s="150">
        <f t="shared" ref="B24:P24" si="4">B22+B14+B8</f>
        <v>43333.33333</v>
      </c>
      <c r="C24" s="150">
        <f t="shared" si="4"/>
        <v>3333.333333</v>
      </c>
      <c r="D24" s="150">
        <f t="shared" si="4"/>
        <v>157025.7247</v>
      </c>
      <c r="E24" s="150">
        <f t="shared" si="4"/>
        <v>232226.236</v>
      </c>
      <c r="F24" s="150">
        <f t="shared" si="4"/>
        <v>-42580.38548</v>
      </c>
      <c r="G24" s="150">
        <f t="shared" si="4"/>
        <v>227715.1079</v>
      </c>
      <c r="H24" s="150">
        <f t="shared" si="4"/>
        <v>252694.6297</v>
      </c>
      <c r="I24" s="150">
        <f t="shared" si="4"/>
        <v>278884.6501</v>
      </c>
      <c r="J24" s="150">
        <f t="shared" si="4"/>
        <v>308566.1619</v>
      </c>
      <c r="K24" s="150">
        <f t="shared" si="4"/>
        <v>341934.629</v>
      </c>
      <c r="L24" s="150">
        <f t="shared" si="4"/>
        <v>378151.1437</v>
      </c>
      <c r="M24" s="150">
        <f t="shared" si="4"/>
        <v>417443.6769</v>
      </c>
      <c r="N24" s="150">
        <f t="shared" si="4"/>
        <v>460058.4277</v>
      </c>
      <c r="O24" s="150">
        <f t="shared" si="4"/>
        <v>506261.2815</v>
      </c>
      <c r="P24" s="150">
        <f t="shared" si="4"/>
        <v>556339.3846</v>
      </c>
    </row>
    <row r="25">
      <c r="A25" s="151"/>
      <c r="B25" s="159"/>
      <c r="C25" s="159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</row>
    <row r="26">
      <c r="A26" s="147" t="s">
        <v>233</v>
      </c>
      <c r="B26" s="81">
        <v>191449.0</v>
      </c>
      <c r="C26" s="148">
        <f t="shared" ref="C26:P26" si="5">B27</f>
        <v>234782.3333</v>
      </c>
      <c r="D26" s="148">
        <f t="shared" si="5"/>
        <v>238115.6667</v>
      </c>
      <c r="E26" s="148">
        <f t="shared" si="5"/>
        <v>395141.3914</v>
      </c>
      <c r="F26" s="148">
        <f t="shared" si="5"/>
        <v>627367.6274</v>
      </c>
      <c r="G26" s="148">
        <f t="shared" si="5"/>
        <v>584787.2419</v>
      </c>
      <c r="H26" s="148">
        <f t="shared" si="5"/>
        <v>812502.3498</v>
      </c>
      <c r="I26" s="148">
        <f t="shared" si="5"/>
        <v>1065196.979</v>
      </c>
      <c r="J26" s="148">
        <f t="shared" si="5"/>
        <v>1344081.63</v>
      </c>
      <c r="K26" s="148">
        <f t="shared" si="5"/>
        <v>1652647.791</v>
      </c>
      <c r="L26" s="148">
        <f t="shared" si="5"/>
        <v>1994582.42</v>
      </c>
      <c r="M26" s="148">
        <f t="shared" si="5"/>
        <v>2372733.564</v>
      </c>
      <c r="N26" s="148">
        <f t="shared" si="5"/>
        <v>2790177.241</v>
      </c>
      <c r="O26" s="148">
        <f t="shared" si="5"/>
        <v>3250235.669</v>
      </c>
      <c r="P26" s="148">
        <f t="shared" si="5"/>
        <v>3756496.95</v>
      </c>
    </row>
    <row r="27">
      <c r="A27" s="149" t="s">
        <v>234</v>
      </c>
      <c r="B27" s="150">
        <f t="shared" ref="B27:P27" si="6">B26+B24</f>
        <v>234782.3333</v>
      </c>
      <c r="C27" s="150">
        <f t="shared" si="6"/>
        <v>238115.6667</v>
      </c>
      <c r="D27" s="150">
        <f t="shared" si="6"/>
        <v>395141.3914</v>
      </c>
      <c r="E27" s="150">
        <f t="shared" si="6"/>
        <v>627367.6274</v>
      </c>
      <c r="F27" s="150">
        <f t="shared" si="6"/>
        <v>584787.2419</v>
      </c>
      <c r="G27" s="150">
        <f t="shared" si="6"/>
        <v>812502.3498</v>
      </c>
      <c r="H27" s="150">
        <f t="shared" si="6"/>
        <v>1065196.979</v>
      </c>
      <c r="I27" s="150">
        <f t="shared" si="6"/>
        <v>1344081.63</v>
      </c>
      <c r="J27" s="150">
        <f t="shared" si="6"/>
        <v>1652647.791</v>
      </c>
      <c r="K27" s="150">
        <f t="shared" si="6"/>
        <v>1994582.42</v>
      </c>
      <c r="L27" s="150">
        <f t="shared" si="6"/>
        <v>2372733.564</v>
      </c>
      <c r="M27" s="150">
        <f t="shared" si="6"/>
        <v>2790177.241</v>
      </c>
      <c r="N27" s="150">
        <f t="shared" si="6"/>
        <v>3250235.669</v>
      </c>
      <c r="O27" s="150">
        <f t="shared" si="6"/>
        <v>3756496.95</v>
      </c>
      <c r="P27" s="150">
        <f t="shared" si="6"/>
        <v>4312836.335</v>
      </c>
    </row>
  </sheetData>
  <mergeCells count="1">
    <mergeCell ref="A1:P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86"/>
  </cols>
  <sheetData>
    <row r="1">
      <c r="A1" s="138" t="s">
        <v>235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40"/>
    </row>
    <row r="2">
      <c r="A2" s="141"/>
      <c r="B2" s="142"/>
      <c r="C2" s="142"/>
      <c r="D2" s="142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68"/>
      <c r="P2" s="109"/>
      <c r="Q2" s="109"/>
    </row>
    <row r="3">
      <c r="A3" s="144" t="s">
        <v>148</v>
      </c>
      <c r="B3" s="160">
        <v>45931.0</v>
      </c>
      <c r="C3" s="144">
        <v>2026.0</v>
      </c>
      <c r="D3" s="144">
        <v>2027.0</v>
      </c>
      <c r="E3" s="144">
        <v>2028.0</v>
      </c>
      <c r="F3" s="144">
        <v>2029.0</v>
      </c>
      <c r="G3" s="144">
        <v>2030.0</v>
      </c>
      <c r="H3" s="144">
        <v>2031.0</v>
      </c>
      <c r="I3" s="144">
        <v>2032.0</v>
      </c>
      <c r="J3" s="144">
        <v>2033.0</v>
      </c>
      <c r="K3" s="144">
        <v>2034.0</v>
      </c>
      <c r="L3" s="144">
        <v>2035.0</v>
      </c>
      <c r="M3" s="144">
        <v>2036.0</v>
      </c>
      <c r="N3" s="144">
        <v>2037.0</v>
      </c>
      <c r="O3" s="144">
        <v>2038.0</v>
      </c>
      <c r="P3" s="144">
        <v>2039.0</v>
      </c>
      <c r="Q3" s="144">
        <v>2040.0</v>
      </c>
    </row>
    <row r="4">
      <c r="A4" s="145" t="s">
        <v>236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>
      <c r="A5" s="147" t="s">
        <v>237</v>
      </c>
      <c r="B5" s="161">
        <f>B8-B6-B7</f>
        <v>191449</v>
      </c>
      <c r="C5" s="81">
        <f>'Cash Flow'!B27</f>
        <v>234782.3333</v>
      </c>
      <c r="D5" s="81">
        <f>'Cash Flow'!C27</f>
        <v>238115.6667</v>
      </c>
      <c r="E5" s="81">
        <f>'Cash Flow'!D27</f>
        <v>395141.3914</v>
      </c>
      <c r="F5" s="81">
        <f>'Cash Flow'!E27</f>
        <v>627367.6274</v>
      </c>
      <c r="G5" s="81">
        <f>'Cash Flow'!F27</f>
        <v>584787.2419</v>
      </c>
      <c r="H5" s="81">
        <f>'Cash Flow'!G27</f>
        <v>812502.3498</v>
      </c>
      <c r="I5" s="81">
        <f>'Cash Flow'!H27</f>
        <v>1065196.979</v>
      </c>
      <c r="J5" s="81">
        <f>'Cash Flow'!I27</f>
        <v>1344081.63</v>
      </c>
      <c r="K5" s="81">
        <f>'Cash Flow'!J27</f>
        <v>1652647.791</v>
      </c>
      <c r="L5" s="81">
        <f>'Cash Flow'!K27</f>
        <v>1994582.42</v>
      </c>
      <c r="M5" s="81">
        <f>'Cash Flow'!L27</f>
        <v>2372733.564</v>
      </c>
      <c r="N5" s="81">
        <f>'Cash Flow'!M27</f>
        <v>2790177.241</v>
      </c>
      <c r="O5" s="81">
        <f>'Cash Flow'!N27</f>
        <v>3250235.669</v>
      </c>
      <c r="P5" s="81">
        <f>'Cash Flow'!O27</f>
        <v>3756496.95</v>
      </c>
      <c r="Q5" s="81">
        <f>'Cash Flow'!P27</f>
        <v>4312836.335</v>
      </c>
    </row>
    <row r="6">
      <c r="A6" s="147" t="s">
        <v>238</v>
      </c>
      <c r="B6" s="161">
        <v>155882.0</v>
      </c>
      <c r="C6" s="81">
        <f>B6+'Cash Flow'!B14*-1</f>
        <v>1305882</v>
      </c>
      <c r="D6" s="81">
        <f>C6+'Cash Flow'!C14*-1</f>
        <v>1555882</v>
      </c>
      <c r="E6" s="81">
        <f>D6+'Cash Flow'!D14*-1</f>
        <v>1605882</v>
      </c>
      <c r="F6" s="81">
        <f>E6+'Cash Flow'!E14*-1</f>
        <v>1655882</v>
      </c>
      <c r="G6" s="81">
        <f>F6+'Cash Flow'!F14*-1</f>
        <v>1705882</v>
      </c>
      <c r="H6" s="81">
        <f>G6+'Cash Flow'!G14*-1</f>
        <v>1755882</v>
      </c>
      <c r="I6" s="81">
        <f>H6+'Cash Flow'!H14*-1</f>
        <v>1805882</v>
      </c>
      <c r="J6" s="81">
        <f>I6+'Cash Flow'!I14*-1</f>
        <v>1855882</v>
      </c>
      <c r="K6" s="81">
        <f>J6+'Cash Flow'!J14*-1</f>
        <v>1905882</v>
      </c>
      <c r="L6" s="81">
        <f>K6+'Cash Flow'!K14*-1</f>
        <v>1955882</v>
      </c>
      <c r="M6" s="81">
        <f>L6+'Cash Flow'!L14*-1</f>
        <v>2005882</v>
      </c>
      <c r="N6" s="81">
        <f>M6+'Cash Flow'!M14*-1</f>
        <v>2055882</v>
      </c>
      <c r="O6" s="81">
        <f>N6+'Cash Flow'!N14*-1</f>
        <v>2105882</v>
      </c>
      <c r="P6" s="81">
        <f>O6+'Cash Flow'!O14*-1</f>
        <v>2155882</v>
      </c>
      <c r="Q6" s="81">
        <f>P6+'Cash Flow'!P14*-1</f>
        <v>2205882</v>
      </c>
    </row>
    <row r="7">
      <c r="A7" s="147" t="s">
        <v>239</v>
      </c>
      <c r="B7" s="161">
        <v>143772.0</v>
      </c>
      <c r="C7" s="81">
        <f t="shared" ref="C7:Q7" si="1">B7</f>
        <v>143772</v>
      </c>
      <c r="D7" s="81">
        <f t="shared" si="1"/>
        <v>143772</v>
      </c>
      <c r="E7" s="81">
        <f t="shared" si="1"/>
        <v>143772</v>
      </c>
      <c r="F7" s="81">
        <f t="shared" si="1"/>
        <v>143772</v>
      </c>
      <c r="G7" s="81">
        <f t="shared" si="1"/>
        <v>143772</v>
      </c>
      <c r="H7" s="81">
        <f t="shared" si="1"/>
        <v>143772</v>
      </c>
      <c r="I7" s="81">
        <f t="shared" si="1"/>
        <v>143772</v>
      </c>
      <c r="J7" s="81">
        <f t="shared" si="1"/>
        <v>143772</v>
      </c>
      <c r="K7" s="81">
        <f t="shared" si="1"/>
        <v>143772</v>
      </c>
      <c r="L7" s="81">
        <f t="shared" si="1"/>
        <v>143772</v>
      </c>
      <c r="M7" s="81">
        <f t="shared" si="1"/>
        <v>143772</v>
      </c>
      <c r="N7" s="81">
        <f t="shared" si="1"/>
        <v>143772</v>
      </c>
      <c r="O7" s="81">
        <f t="shared" si="1"/>
        <v>143772</v>
      </c>
      <c r="P7" s="81">
        <f t="shared" si="1"/>
        <v>143772</v>
      </c>
      <c r="Q7" s="81">
        <f t="shared" si="1"/>
        <v>143772</v>
      </c>
    </row>
    <row r="8">
      <c r="A8" s="149" t="s">
        <v>240</v>
      </c>
      <c r="B8" s="150">
        <v>491103.0</v>
      </c>
      <c r="C8" s="150">
        <f t="shared" ref="C8:Q8" si="2">SUM(C5:C7)</f>
        <v>1684436.333</v>
      </c>
      <c r="D8" s="150">
        <f t="shared" si="2"/>
        <v>1937769.667</v>
      </c>
      <c r="E8" s="150">
        <f t="shared" si="2"/>
        <v>2144795.391</v>
      </c>
      <c r="F8" s="150">
        <f t="shared" si="2"/>
        <v>2427021.627</v>
      </c>
      <c r="G8" s="150">
        <f t="shared" si="2"/>
        <v>2434441.242</v>
      </c>
      <c r="H8" s="150">
        <f t="shared" si="2"/>
        <v>2712156.35</v>
      </c>
      <c r="I8" s="150">
        <f t="shared" si="2"/>
        <v>3014850.979</v>
      </c>
      <c r="J8" s="150">
        <f t="shared" si="2"/>
        <v>3343735.63</v>
      </c>
      <c r="K8" s="150">
        <f t="shared" si="2"/>
        <v>3702301.791</v>
      </c>
      <c r="L8" s="150">
        <f t="shared" si="2"/>
        <v>4094236.42</v>
      </c>
      <c r="M8" s="150">
        <f t="shared" si="2"/>
        <v>4522387.564</v>
      </c>
      <c r="N8" s="150">
        <f t="shared" si="2"/>
        <v>4989831.241</v>
      </c>
      <c r="O8" s="150">
        <f t="shared" si="2"/>
        <v>5499889.669</v>
      </c>
      <c r="P8" s="150">
        <f t="shared" si="2"/>
        <v>6056150.95</v>
      </c>
      <c r="Q8" s="150">
        <f t="shared" si="2"/>
        <v>6662490.335</v>
      </c>
    </row>
    <row r="9">
      <c r="A9" s="151"/>
      <c r="B9" s="159"/>
      <c r="C9" s="159"/>
      <c r="D9" s="159"/>
      <c r="E9" s="159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</row>
    <row r="10">
      <c r="A10" s="145" t="s">
        <v>241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>
      <c r="A11" s="147" t="s">
        <v>242</v>
      </c>
      <c r="B11" s="161">
        <v>0.0</v>
      </c>
      <c r="C11" s="81">
        <f>'Cash Flow'!B17+'Cash Flow'!B18</f>
        <v>653333.3333</v>
      </c>
      <c r="D11" s="81">
        <f>C11+'Cash Flow'!C18</f>
        <v>606666.6667</v>
      </c>
      <c r="E11" s="81">
        <f>D11+'Cash Flow'!D18</f>
        <v>560000</v>
      </c>
      <c r="F11" s="81">
        <f>E11+'Cash Flow'!E18</f>
        <v>513333.3333</v>
      </c>
      <c r="G11" s="81">
        <f>F11+'Cash Flow'!F18</f>
        <v>466666.6667</v>
      </c>
      <c r="H11" s="81">
        <f>G11+'Cash Flow'!G18</f>
        <v>420000</v>
      </c>
      <c r="I11" s="81">
        <f>H11+'Cash Flow'!H18</f>
        <v>373333.3333</v>
      </c>
      <c r="J11" s="81">
        <f>I11+'Cash Flow'!I18</f>
        <v>326666.6667</v>
      </c>
      <c r="K11" s="81">
        <f>J11+'Cash Flow'!J18</f>
        <v>280000</v>
      </c>
      <c r="L11" s="81">
        <f>K11+'Cash Flow'!K18</f>
        <v>233333.3333</v>
      </c>
      <c r="M11" s="81">
        <f>L11+'Cash Flow'!L18</f>
        <v>186666.6667</v>
      </c>
      <c r="N11" s="81">
        <f>M11+'Cash Flow'!M18</f>
        <v>140000</v>
      </c>
      <c r="O11" s="81">
        <f>N11+'Cash Flow'!N18</f>
        <v>93333.33333</v>
      </c>
      <c r="P11" s="81">
        <f>O11+'Cash Flow'!O18</f>
        <v>46666.66667</v>
      </c>
      <c r="Q11" s="81">
        <f>P11+'Cash Flow'!P18</f>
        <v>0</v>
      </c>
    </row>
    <row r="12">
      <c r="A12" s="147" t="s">
        <v>243</v>
      </c>
      <c r="B12" s="161">
        <v>363111.0</v>
      </c>
      <c r="C12" s="81">
        <f>B12+'Cash Flow'!B20+'Cash Flow'!B21</f>
        <v>763111</v>
      </c>
      <c r="D12" s="81">
        <f>C12+'Cash Flow'!C20+'Cash Flow'!C21</f>
        <v>763111</v>
      </c>
      <c r="E12" s="81">
        <f>D12+'Cash Flow'!D20+'Cash Flow'!D21</f>
        <v>500621.4112</v>
      </c>
      <c r="F12" s="81">
        <f>E12+'Cash Flow'!E20+'Cash Flow'!E21</f>
        <v>350621.4112</v>
      </c>
      <c r="G12" s="81">
        <f>F12+'Cash Flow'!F20+'Cash Flow'!F21</f>
        <v>100613.4581</v>
      </c>
      <c r="H12" s="81">
        <f>G12+'Cash Flow'!G20+'Cash Flow'!G21</f>
        <v>100613.4581</v>
      </c>
      <c r="I12" s="81">
        <f>H12+'Cash Flow'!H20+'Cash Flow'!H21</f>
        <v>100613.4581</v>
      </c>
      <c r="J12" s="81">
        <f>I12+'Cash Flow'!I20+'Cash Flow'!I21</f>
        <v>100613.4581</v>
      </c>
      <c r="K12" s="81">
        <f>J12+'Cash Flow'!J20+'Cash Flow'!J21</f>
        <v>100613.4581</v>
      </c>
      <c r="L12" s="81">
        <f>K12+'Cash Flow'!K20+'Cash Flow'!K21</f>
        <v>100613.4581</v>
      </c>
      <c r="M12" s="81">
        <f>L12+'Cash Flow'!L20+'Cash Flow'!L21</f>
        <v>100613.4581</v>
      </c>
      <c r="N12" s="81">
        <f>M12+'Cash Flow'!M20+'Cash Flow'!M21</f>
        <v>100613.4581</v>
      </c>
      <c r="O12" s="81">
        <f>N12+'Cash Flow'!N20+'Cash Flow'!N21</f>
        <v>100613.4581</v>
      </c>
      <c r="P12" s="81">
        <f>O12+'Cash Flow'!O20+'Cash Flow'!O21</f>
        <v>100613.4581</v>
      </c>
      <c r="Q12" s="81">
        <f>P12+'Cash Flow'!P20+'Cash Flow'!P21</f>
        <v>100613.4581</v>
      </c>
    </row>
    <row r="13">
      <c r="A13" s="147" t="s">
        <v>244</v>
      </c>
      <c r="B13" s="161">
        <v>44792.0</v>
      </c>
      <c r="C13" s="81">
        <f t="shared" ref="C13:Q13" si="3">B13</f>
        <v>44792</v>
      </c>
      <c r="D13" s="81">
        <f t="shared" si="3"/>
        <v>44792</v>
      </c>
      <c r="E13" s="81">
        <f t="shared" si="3"/>
        <v>44792</v>
      </c>
      <c r="F13" s="81">
        <f t="shared" si="3"/>
        <v>44792</v>
      </c>
      <c r="G13" s="81">
        <f t="shared" si="3"/>
        <v>44792</v>
      </c>
      <c r="H13" s="81">
        <f t="shared" si="3"/>
        <v>44792</v>
      </c>
      <c r="I13" s="81">
        <f t="shared" si="3"/>
        <v>44792</v>
      </c>
      <c r="J13" s="81">
        <f t="shared" si="3"/>
        <v>44792</v>
      </c>
      <c r="K13" s="81">
        <f t="shared" si="3"/>
        <v>44792</v>
      </c>
      <c r="L13" s="81">
        <f t="shared" si="3"/>
        <v>44792</v>
      </c>
      <c r="M13" s="81">
        <f t="shared" si="3"/>
        <v>44792</v>
      </c>
      <c r="N13" s="81">
        <f t="shared" si="3"/>
        <v>44792</v>
      </c>
      <c r="O13" s="81">
        <f t="shared" si="3"/>
        <v>44792</v>
      </c>
      <c r="P13" s="81">
        <f t="shared" si="3"/>
        <v>44792</v>
      </c>
      <c r="Q13" s="81">
        <f t="shared" si="3"/>
        <v>44792</v>
      </c>
    </row>
    <row r="14">
      <c r="A14" s="149" t="s">
        <v>245</v>
      </c>
      <c r="B14" s="150">
        <f t="shared" ref="B14:Q14" si="4">SUM(B11:B13)</f>
        <v>407903</v>
      </c>
      <c r="C14" s="150">
        <f t="shared" si="4"/>
        <v>1461236.333</v>
      </c>
      <c r="D14" s="150">
        <f t="shared" si="4"/>
        <v>1414569.667</v>
      </c>
      <c r="E14" s="150">
        <f t="shared" si="4"/>
        <v>1105413.411</v>
      </c>
      <c r="F14" s="150">
        <f t="shared" si="4"/>
        <v>908746.7446</v>
      </c>
      <c r="G14" s="150">
        <f t="shared" si="4"/>
        <v>612072.1248</v>
      </c>
      <c r="H14" s="150">
        <f t="shared" si="4"/>
        <v>565405.4581</v>
      </c>
      <c r="I14" s="150">
        <f t="shared" si="4"/>
        <v>518738.7914</v>
      </c>
      <c r="J14" s="150">
        <f t="shared" si="4"/>
        <v>472072.1248</v>
      </c>
      <c r="K14" s="150">
        <f t="shared" si="4"/>
        <v>425405.4581</v>
      </c>
      <c r="L14" s="150">
        <f t="shared" si="4"/>
        <v>378738.7914</v>
      </c>
      <c r="M14" s="150">
        <f t="shared" si="4"/>
        <v>332072.1248</v>
      </c>
      <c r="N14" s="150">
        <f t="shared" si="4"/>
        <v>285405.4581</v>
      </c>
      <c r="O14" s="150">
        <f t="shared" si="4"/>
        <v>238738.7914</v>
      </c>
      <c r="P14" s="150">
        <f t="shared" si="4"/>
        <v>192072.1248</v>
      </c>
      <c r="Q14" s="150">
        <f t="shared" si="4"/>
        <v>145405.4581</v>
      </c>
    </row>
    <row r="15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</row>
    <row r="16">
      <c r="A16" s="145" t="s">
        <v>246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</row>
    <row r="17">
      <c r="A17" s="147" t="s">
        <v>247</v>
      </c>
      <c r="B17" s="161">
        <v>249000.0</v>
      </c>
      <c r="C17" s="81">
        <f>B17+'Cash Flow'!B19</f>
        <v>399000</v>
      </c>
      <c r="D17" s="81">
        <f>C17+'Cash Flow'!C19</f>
        <v>649000</v>
      </c>
      <c r="E17" s="81">
        <f>D17+'Cash Flow'!D19</f>
        <v>899000</v>
      </c>
      <c r="F17" s="81">
        <f>E17+'Cash Flow'!E19</f>
        <v>1099000</v>
      </c>
      <c r="G17" s="81">
        <f>F17+'Cash Flow'!F19</f>
        <v>1099000</v>
      </c>
      <c r="H17" s="81">
        <f>G17+'Cash Flow'!G19</f>
        <v>1099000</v>
      </c>
      <c r="I17" s="81">
        <f>H17+'Cash Flow'!H19</f>
        <v>1099000</v>
      </c>
      <c r="J17" s="81">
        <f>I17+'Cash Flow'!I19</f>
        <v>1099000</v>
      </c>
      <c r="K17" s="81">
        <f>J17+'Cash Flow'!J19</f>
        <v>1099000</v>
      </c>
      <c r="L17" s="81">
        <f>K17+'Cash Flow'!K19</f>
        <v>1099000</v>
      </c>
      <c r="M17" s="81">
        <f>L17+'Cash Flow'!L19</f>
        <v>1099000</v>
      </c>
      <c r="N17" s="81">
        <f>M17+'Cash Flow'!M19</f>
        <v>1099000</v>
      </c>
      <c r="O17" s="81">
        <f>N17+'Cash Flow'!N19</f>
        <v>1099000</v>
      </c>
      <c r="P17" s="81">
        <f>O17+'Cash Flow'!O19</f>
        <v>1099000</v>
      </c>
      <c r="Q17" s="81">
        <f>P17+'Cash Flow'!P19</f>
        <v>1099000</v>
      </c>
    </row>
    <row r="18">
      <c r="A18" s="147" t="s">
        <v>248</v>
      </c>
      <c r="B18" s="161">
        <v>-165800.0</v>
      </c>
      <c r="C18" s="81">
        <f>B18+'Cash Flow'!B8</f>
        <v>-175800</v>
      </c>
      <c r="D18" s="81">
        <f>C18+'Cash Flow'!C8</f>
        <v>-125800</v>
      </c>
      <c r="E18" s="81">
        <f>D18+'Cash Flow'!D8</f>
        <v>140381.9802</v>
      </c>
      <c r="F18" s="81">
        <f>E18+'Cash Flow'!E8</f>
        <v>419274.8828</v>
      </c>
      <c r="G18" s="81">
        <f>F18+'Cash Flow'!F8</f>
        <v>723369.1172</v>
      </c>
      <c r="H18" s="81">
        <f>G18+'Cash Flow'!G8</f>
        <v>1047750.892</v>
      </c>
      <c r="I18" s="81">
        <f>H18+'Cash Flow'!H8</f>
        <v>1397112.188</v>
      </c>
      <c r="J18" s="81">
        <f>I18+'Cash Flow'!I8</f>
        <v>1772663.505</v>
      </c>
      <c r="K18" s="81">
        <f>J18+'Cash Flow'!J8</f>
        <v>2177896.333</v>
      </c>
      <c r="L18" s="81">
        <f>K18+'Cash Flow'!K8</f>
        <v>2616497.629</v>
      </c>
      <c r="M18" s="81">
        <f>L18+'Cash Flow'!L8</f>
        <v>3091315.439</v>
      </c>
      <c r="N18" s="81">
        <f>M18+'Cash Flow'!M8</f>
        <v>3605425.783</v>
      </c>
      <c r="O18" s="81">
        <f>N18+'Cash Flow'!N8</f>
        <v>4162150.877</v>
      </c>
      <c r="P18" s="81">
        <f>O18+'Cash Flow'!O8</f>
        <v>4765078.826</v>
      </c>
      <c r="Q18" s="81">
        <f>P18+'Cash Flow'!P8</f>
        <v>5418084.877</v>
      </c>
    </row>
    <row r="19">
      <c r="A19" s="149" t="s">
        <v>249</v>
      </c>
      <c r="B19" s="150">
        <f t="shared" ref="B19:Q19" si="5">SUM(B17:B18)</f>
        <v>83200</v>
      </c>
      <c r="C19" s="150">
        <f t="shared" si="5"/>
        <v>223200</v>
      </c>
      <c r="D19" s="150">
        <f t="shared" si="5"/>
        <v>523200</v>
      </c>
      <c r="E19" s="150">
        <f t="shared" si="5"/>
        <v>1039381.98</v>
      </c>
      <c r="F19" s="150">
        <f t="shared" si="5"/>
        <v>1518274.883</v>
      </c>
      <c r="G19" s="150">
        <f t="shared" si="5"/>
        <v>1822369.117</v>
      </c>
      <c r="H19" s="150">
        <f t="shared" si="5"/>
        <v>2146750.892</v>
      </c>
      <c r="I19" s="150">
        <f t="shared" si="5"/>
        <v>2496112.188</v>
      </c>
      <c r="J19" s="150">
        <f t="shared" si="5"/>
        <v>2871663.505</v>
      </c>
      <c r="K19" s="150">
        <f t="shared" si="5"/>
        <v>3276896.333</v>
      </c>
      <c r="L19" s="150">
        <f t="shared" si="5"/>
        <v>3715497.629</v>
      </c>
      <c r="M19" s="150">
        <f t="shared" si="5"/>
        <v>4190315.439</v>
      </c>
      <c r="N19" s="150">
        <f t="shared" si="5"/>
        <v>4704425.783</v>
      </c>
      <c r="O19" s="150">
        <f t="shared" si="5"/>
        <v>5261150.877</v>
      </c>
      <c r="P19" s="150">
        <f t="shared" si="5"/>
        <v>5864078.826</v>
      </c>
      <c r="Q19" s="150">
        <f t="shared" si="5"/>
        <v>6517084.877</v>
      </c>
    </row>
    <row r="2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</row>
    <row r="21">
      <c r="A21" s="149" t="s">
        <v>250</v>
      </c>
      <c r="B21" s="150">
        <v>491103.0</v>
      </c>
      <c r="C21" s="150">
        <f t="shared" ref="C21:Q21" si="6">C14+C19</f>
        <v>1684436.333</v>
      </c>
      <c r="D21" s="150">
        <f t="shared" si="6"/>
        <v>1937769.667</v>
      </c>
      <c r="E21" s="150">
        <f t="shared" si="6"/>
        <v>2144795.391</v>
      </c>
      <c r="F21" s="150">
        <f t="shared" si="6"/>
        <v>2427021.627</v>
      </c>
      <c r="G21" s="150">
        <f t="shared" si="6"/>
        <v>2434441.242</v>
      </c>
      <c r="H21" s="150">
        <f t="shared" si="6"/>
        <v>2712156.35</v>
      </c>
      <c r="I21" s="150">
        <f t="shared" si="6"/>
        <v>3014850.979</v>
      </c>
      <c r="J21" s="150">
        <f t="shared" si="6"/>
        <v>3343735.63</v>
      </c>
      <c r="K21" s="150">
        <f t="shared" si="6"/>
        <v>3702301.791</v>
      </c>
      <c r="L21" s="150">
        <f t="shared" si="6"/>
        <v>4094236.42</v>
      </c>
      <c r="M21" s="150">
        <f t="shared" si="6"/>
        <v>4522387.564</v>
      </c>
      <c r="N21" s="150">
        <f t="shared" si="6"/>
        <v>4989831.241</v>
      </c>
      <c r="O21" s="150">
        <f t="shared" si="6"/>
        <v>5499889.669</v>
      </c>
      <c r="P21" s="150">
        <f t="shared" si="6"/>
        <v>6056150.95</v>
      </c>
      <c r="Q21" s="150">
        <f t="shared" si="6"/>
        <v>6662490.335</v>
      </c>
    </row>
    <row r="22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  <row r="23">
      <c r="A23" s="162" t="s">
        <v>251</v>
      </c>
      <c r="B23" s="163">
        <f t="shared" ref="B23:Q23" si="7">B8-B19-B14</f>
        <v>0</v>
      </c>
      <c r="C23" s="163">
        <f t="shared" si="7"/>
        <v>0</v>
      </c>
      <c r="D23" s="163">
        <f t="shared" si="7"/>
        <v>0</v>
      </c>
      <c r="E23" s="163">
        <f t="shared" si="7"/>
        <v>0</v>
      </c>
      <c r="F23" s="163">
        <f t="shared" si="7"/>
        <v>0</v>
      </c>
      <c r="G23" s="163">
        <f t="shared" si="7"/>
        <v>0.0000000001164153218</v>
      </c>
      <c r="H23" s="163">
        <f t="shared" si="7"/>
        <v>0.0000000002328306437</v>
      </c>
      <c r="I23" s="163">
        <f t="shared" si="7"/>
        <v>0.0000000004656612873</v>
      </c>
      <c r="J23" s="163">
        <f t="shared" si="7"/>
        <v>0.00000000064028427</v>
      </c>
      <c r="K23" s="163">
        <f t="shared" si="7"/>
        <v>0.0000000003492459655</v>
      </c>
      <c r="L23" s="163">
        <f t="shared" si="7"/>
        <v>0.0000000004656612873</v>
      </c>
      <c r="M23" s="163">
        <f t="shared" si="7"/>
        <v>0.0000000001746229827</v>
      </c>
      <c r="N23" s="163">
        <f t="shared" si="7"/>
        <v>0.0000000008149072528</v>
      </c>
      <c r="O23" s="163">
        <f t="shared" si="7"/>
        <v>-0.0000000004656612873</v>
      </c>
      <c r="P23" s="163">
        <f t="shared" si="7"/>
        <v>0.0000000001455191523</v>
      </c>
      <c r="Q23" s="163">
        <f t="shared" si="7"/>
        <v>-0.0000000001746229827</v>
      </c>
    </row>
  </sheetData>
  <mergeCells count="1">
    <mergeCell ref="A1:Q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57"/>
    <col customWidth="1" min="2" max="4" width="27.0"/>
  </cols>
  <sheetData>
    <row r="1">
      <c r="A1" s="164" t="s">
        <v>252</v>
      </c>
    </row>
    <row r="2">
      <c r="A2" s="165" t="s">
        <v>253</v>
      </c>
    </row>
    <row r="3">
      <c r="A3" s="166"/>
      <c r="B3" s="166"/>
      <c r="C3" s="166"/>
      <c r="D3" s="166"/>
    </row>
    <row r="4">
      <c r="A4" s="165" t="s">
        <v>254</v>
      </c>
      <c r="B4" s="166"/>
      <c r="C4" s="166"/>
      <c r="D4" s="166"/>
    </row>
    <row r="5">
      <c r="A5" s="165" t="s">
        <v>255</v>
      </c>
      <c r="B5" s="167">
        <f>Assumptions!B21</f>
        <v>0.55</v>
      </c>
      <c r="C5" s="166"/>
      <c r="D5" s="166"/>
    </row>
    <row r="6">
      <c r="A6" s="165" t="s">
        <v>13</v>
      </c>
      <c r="B6" s="168">
        <f>Assumptions!B14</f>
        <v>165</v>
      </c>
      <c r="C6" s="166"/>
      <c r="D6" s="166"/>
    </row>
    <row r="7">
      <c r="A7" s="165" t="s">
        <v>15</v>
      </c>
      <c r="B7" s="168">
        <f>Assumptions!B15</f>
        <v>85</v>
      </c>
      <c r="C7" s="166"/>
      <c r="D7" s="166"/>
    </row>
    <row r="8">
      <c r="A8" s="165" t="s">
        <v>25</v>
      </c>
      <c r="B8" s="168">
        <f>Assumptions!B16</f>
        <v>138.3333333</v>
      </c>
      <c r="C8" s="166"/>
      <c r="D8" s="166"/>
    </row>
    <row r="9">
      <c r="A9" s="165" t="s">
        <v>256</v>
      </c>
      <c r="B9" s="168">
        <f>PL!B4</f>
        <v>652865.5333</v>
      </c>
      <c r="C9" s="166"/>
      <c r="D9" s="166"/>
    </row>
    <row r="10">
      <c r="A10" s="165" t="s">
        <v>257</v>
      </c>
      <c r="B10" s="168">
        <f>PL!B10</f>
        <v>246350.9833</v>
      </c>
      <c r="C10" s="166"/>
      <c r="D10" s="166"/>
    </row>
    <row r="11">
      <c r="A11" s="165" t="s">
        <v>258</v>
      </c>
      <c r="B11" s="168">
        <v>385726.0</v>
      </c>
      <c r="C11" s="166"/>
      <c r="D11" s="166"/>
    </row>
    <row r="12">
      <c r="A12" s="165" t="s">
        <v>259</v>
      </c>
      <c r="B12" s="168">
        <v>555424.0</v>
      </c>
      <c r="C12" s="166"/>
      <c r="D12" s="166"/>
    </row>
    <row r="13">
      <c r="A13" s="166"/>
      <c r="B13" s="166"/>
      <c r="C13" s="166"/>
      <c r="D13" s="166"/>
    </row>
    <row r="14">
      <c r="A14" s="166"/>
      <c r="B14" s="166"/>
      <c r="C14" s="166"/>
      <c r="D14" s="166"/>
    </row>
    <row r="15">
      <c r="A15" s="165" t="s">
        <v>260</v>
      </c>
      <c r="B15" s="166"/>
      <c r="C15" s="166"/>
      <c r="D15" s="166"/>
    </row>
    <row r="16">
      <c r="A16" s="166"/>
      <c r="B16" s="166"/>
      <c r="C16" s="166"/>
      <c r="D16" s="166"/>
    </row>
    <row r="17">
      <c r="A17" s="169"/>
      <c r="B17" s="170" t="s">
        <v>261</v>
      </c>
      <c r="C17" s="170" t="s">
        <v>262</v>
      </c>
      <c r="D17" s="170" t="s">
        <v>263</v>
      </c>
    </row>
    <row r="18">
      <c r="A18" s="170" t="s">
        <v>264</v>
      </c>
      <c r="B18" s="171" t="s">
        <v>265</v>
      </c>
      <c r="C18" s="171" t="s">
        <v>266</v>
      </c>
      <c r="D18" s="172" t="s">
        <v>267</v>
      </c>
    </row>
    <row r="19">
      <c r="A19" s="170" t="s">
        <v>268</v>
      </c>
      <c r="B19" s="171" t="s">
        <v>269</v>
      </c>
      <c r="C19" s="173">
        <f>B10</f>
        <v>246350.9833</v>
      </c>
      <c r="D19" s="172" t="s">
        <v>270</v>
      </c>
    </row>
    <row r="20">
      <c r="A20" s="170" t="s">
        <v>271</v>
      </c>
      <c r="B20" s="171" t="s">
        <v>272</v>
      </c>
      <c r="C20" s="172" t="s">
        <v>273</v>
      </c>
      <c r="D20" s="172" t="s">
        <v>274</v>
      </c>
    </row>
    <row r="21">
      <c r="A21" s="166"/>
      <c r="B21" s="166"/>
      <c r="C21" s="166"/>
      <c r="D21" s="166"/>
    </row>
    <row r="22">
      <c r="A22" s="166"/>
      <c r="B22" s="166"/>
      <c r="C22" s="166"/>
      <c r="D22" s="166"/>
    </row>
    <row r="23">
      <c r="A23" s="165" t="s">
        <v>275</v>
      </c>
      <c r="B23" s="166"/>
      <c r="C23" s="166"/>
      <c r="D23" s="166"/>
    </row>
    <row r="24">
      <c r="A24" s="166"/>
      <c r="B24" s="166"/>
      <c r="C24" s="166"/>
      <c r="D24" s="166"/>
    </row>
    <row r="25">
      <c r="A25" s="169"/>
      <c r="B25" s="170" t="s">
        <v>261</v>
      </c>
      <c r="C25" s="170" t="s">
        <v>262</v>
      </c>
      <c r="D25" s="170" t="s">
        <v>263</v>
      </c>
    </row>
    <row r="26">
      <c r="A26" s="170" t="s">
        <v>264</v>
      </c>
      <c r="B26" s="171" t="s">
        <v>276</v>
      </c>
      <c r="C26" s="171" t="s">
        <v>277</v>
      </c>
      <c r="D26" s="172" t="s">
        <v>278</v>
      </c>
    </row>
    <row r="27">
      <c r="A27" s="170" t="s">
        <v>268</v>
      </c>
      <c r="B27" s="171" t="s">
        <v>279</v>
      </c>
      <c r="C27" s="174" t="s">
        <v>280</v>
      </c>
      <c r="D27" s="172" t="s">
        <v>281</v>
      </c>
    </row>
    <row r="28">
      <c r="A28" s="170" t="s">
        <v>271</v>
      </c>
      <c r="B28" s="171" t="s">
        <v>282</v>
      </c>
      <c r="C28" s="172" t="s">
        <v>283</v>
      </c>
      <c r="D28" s="172" t="s">
        <v>284</v>
      </c>
    </row>
    <row r="29">
      <c r="A29" s="166"/>
      <c r="B29" s="166"/>
      <c r="C29" s="166"/>
      <c r="D29" s="166"/>
    </row>
    <row r="30">
      <c r="A30" s="166"/>
      <c r="B30" s="166"/>
      <c r="C30" s="166"/>
      <c r="D30" s="166"/>
    </row>
    <row r="31">
      <c r="A31" s="165" t="s">
        <v>285</v>
      </c>
      <c r="B31" s="166"/>
      <c r="C31" s="166"/>
      <c r="D31" s="166"/>
    </row>
    <row r="32">
      <c r="A32" s="166"/>
      <c r="B32" s="166"/>
      <c r="C32" s="166"/>
      <c r="D32" s="166"/>
    </row>
    <row r="33">
      <c r="A33" s="169"/>
      <c r="B33" s="170" t="s">
        <v>261</v>
      </c>
      <c r="C33" s="170" t="s">
        <v>262</v>
      </c>
      <c r="D33" s="170" t="s">
        <v>263</v>
      </c>
    </row>
    <row r="34">
      <c r="A34" s="170" t="s">
        <v>264</v>
      </c>
      <c r="B34" s="171" t="s">
        <v>286</v>
      </c>
      <c r="C34" s="171" t="s">
        <v>287</v>
      </c>
      <c r="D34" s="175" t="s">
        <v>288</v>
      </c>
    </row>
    <row r="35">
      <c r="A35" s="170" t="s">
        <v>268</v>
      </c>
      <c r="B35" s="171" t="s">
        <v>289</v>
      </c>
      <c r="C35" s="174" t="s">
        <v>290</v>
      </c>
      <c r="D35" s="175" t="s">
        <v>291</v>
      </c>
    </row>
    <row r="36">
      <c r="A36" s="170" t="s">
        <v>271</v>
      </c>
      <c r="B36" s="171" t="s">
        <v>292</v>
      </c>
      <c r="C36" s="175" t="s">
        <v>293</v>
      </c>
      <c r="D36" s="175" t="s">
        <v>294</v>
      </c>
    </row>
    <row r="37">
      <c r="A37" s="166"/>
      <c r="B37" s="166"/>
      <c r="C37" s="166"/>
      <c r="D37" s="166"/>
    </row>
    <row r="38">
      <c r="A38" s="166"/>
      <c r="B38" s="166"/>
      <c r="C38" s="166"/>
      <c r="D38" s="166"/>
    </row>
    <row r="39">
      <c r="A39" s="165" t="s">
        <v>295</v>
      </c>
      <c r="B39" s="166"/>
      <c r="C39" s="166"/>
      <c r="D39" s="166"/>
    </row>
    <row r="40">
      <c r="A40" s="165" t="s">
        <v>296</v>
      </c>
    </row>
    <row r="41">
      <c r="A41" s="165" t="s">
        <v>297</v>
      </c>
    </row>
    <row r="42">
      <c r="A42" s="165" t="s">
        <v>298</v>
      </c>
    </row>
    <row r="43">
      <c r="A43" s="165" t="s">
        <v>299</v>
      </c>
    </row>
    <row r="44">
      <c r="A44" s="165" t="s">
        <v>300</v>
      </c>
    </row>
    <row r="45">
      <c r="A45" s="166"/>
      <c r="B45" s="166"/>
      <c r="C45" s="166"/>
      <c r="D45" s="166"/>
    </row>
    <row r="46">
      <c r="A46" s="166"/>
      <c r="B46" s="166"/>
      <c r="C46" s="166"/>
      <c r="D46" s="166"/>
    </row>
    <row r="47">
      <c r="A47" s="165" t="s">
        <v>301</v>
      </c>
      <c r="B47" s="166"/>
      <c r="C47" s="166"/>
      <c r="D47" s="166"/>
    </row>
    <row r="48">
      <c r="A48" s="176" t="s">
        <v>302</v>
      </c>
    </row>
    <row r="49">
      <c r="A49" s="176" t="s">
        <v>303</v>
      </c>
    </row>
    <row r="50">
      <c r="A50" s="176" t="s">
        <v>304</v>
      </c>
    </row>
    <row r="51">
      <c r="A51" s="176" t="s">
        <v>305</v>
      </c>
    </row>
  </sheetData>
  <mergeCells count="11">
    <mergeCell ref="A48:D48"/>
    <mergeCell ref="A49:D49"/>
    <mergeCell ref="A50:D50"/>
    <mergeCell ref="A51:D51"/>
    <mergeCell ref="A1:D1"/>
    <mergeCell ref="A2:D2"/>
    <mergeCell ref="A40:D40"/>
    <mergeCell ref="A41:D41"/>
    <mergeCell ref="A42:D42"/>
    <mergeCell ref="A43:D43"/>
    <mergeCell ref="A44:D4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0.0"/>
    <col customWidth="1" min="3" max="6" width="14.0"/>
    <col customWidth="1" min="7" max="7" width="16.0"/>
    <col customWidth="1" min="8" max="8" width="35.0"/>
    <col customWidth="1" min="9" max="29" width="8.71"/>
  </cols>
  <sheetData>
    <row r="1">
      <c r="A1" s="1" t="s">
        <v>306</v>
      </c>
      <c r="B1" s="2"/>
      <c r="C1" s="2"/>
      <c r="D1" s="2"/>
      <c r="E1" s="2"/>
      <c r="F1" s="2"/>
      <c r="G1" s="2"/>
      <c r="H1" s="3"/>
    </row>
    <row r="3">
      <c r="A3" s="4" t="s">
        <v>307</v>
      </c>
      <c r="B3" s="4"/>
      <c r="C3" s="4"/>
      <c r="D3" s="10" t="s">
        <v>308</v>
      </c>
      <c r="E3" s="10" t="s">
        <v>309</v>
      </c>
      <c r="F3" s="10"/>
      <c r="G3" s="4"/>
      <c r="H3" s="4"/>
    </row>
    <row r="4">
      <c r="A4" s="5"/>
      <c r="B4" s="5"/>
      <c r="C4" s="5"/>
      <c r="D4" s="5"/>
      <c r="E4" s="5"/>
      <c r="F4" s="5"/>
      <c r="G4" s="5"/>
      <c r="H4" s="5"/>
    </row>
    <row r="5">
      <c r="A5" s="177" t="s">
        <v>310</v>
      </c>
      <c r="B5" s="177"/>
      <c r="C5" s="178" t="s">
        <v>311</v>
      </c>
      <c r="D5" s="178"/>
      <c r="E5" s="178"/>
      <c r="F5" s="178"/>
      <c r="G5" s="177"/>
      <c r="H5" s="177"/>
    </row>
    <row r="6">
      <c r="A6" s="5" t="s">
        <v>312</v>
      </c>
      <c r="B6" s="5">
        <v>10.0</v>
      </c>
      <c r="C6" s="8">
        <v>60.0</v>
      </c>
      <c r="D6" s="179">
        <f>Assumptions!$B$63*C6*(1+Assumptions!B64)</f>
        <v>150000</v>
      </c>
      <c r="E6" s="179">
        <f>D6 * Assumptions!$B$64 * B6</f>
        <v>375000</v>
      </c>
      <c r="F6" s="179"/>
      <c r="G6" s="113">
        <f t="shared" ref="G6:G7" si="1">B6*C6</f>
        <v>600</v>
      </c>
      <c r="H6" s="8" t="s">
        <v>313</v>
      </c>
    </row>
    <row r="7">
      <c r="A7" s="5" t="s">
        <v>314</v>
      </c>
      <c r="B7" s="5">
        <v>1.0</v>
      </c>
      <c r="C7" s="8">
        <v>240.0</v>
      </c>
      <c r="D7" s="179">
        <v>200000.0</v>
      </c>
      <c r="E7" s="179"/>
      <c r="F7" s="179"/>
      <c r="G7" s="113">
        <f t="shared" si="1"/>
        <v>240</v>
      </c>
      <c r="H7" s="5" t="s">
        <v>315</v>
      </c>
    </row>
    <row r="8">
      <c r="A8" s="5"/>
      <c r="B8" s="5"/>
      <c r="C8" s="5"/>
      <c r="D8" s="5"/>
      <c r="E8" s="5"/>
      <c r="F8" s="5"/>
      <c r="G8" s="5"/>
      <c r="H8" s="5"/>
    </row>
    <row r="9">
      <c r="A9" s="177" t="s">
        <v>316</v>
      </c>
      <c r="B9" s="177"/>
      <c r="C9" s="177"/>
      <c r="D9" s="177"/>
      <c r="E9" s="177"/>
      <c r="F9" s="177"/>
      <c r="G9" s="177"/>
      <c r="H9" s="177"/>
    </row>
    <row r="10">
      <c r="A10" s="5" t="s">
        <v>317</v>
      </c>
      <c r="B10" s="5">
        <v>13.0</v>
      </c>
      <c r="C10" s="8">
        <v>144.0</v>
      </c>
      <c r="D10" s="179">
        <f>Assumptions!$B$63*C10*(1+Assumptions!B64)</f>
        <v>360000</v>
      </c>
      <c r="E10" s="179">
        <f>D10 * Assumptions!$B$64 * B10</f>
        <v>1170000</v>
      </c>
      <c r="F10" s="179"/>
      <c r="G10" s="113">
        <f>B10*C10</f>
        <v>1872</v>
      </c>
      <c r="H10" s="5" t="s">
        <v>318</v>
      </c>
    </row>
    <row r="11">
      <c r="A11" s="5"/>
      <c r="B11" s="5"/>
      <c r="C11" s="5"/>
      <c r="D11" s="5"/>
      <c r="E11" s="5"/>
      <c r="F11" s="5"/>
      <c r="G11" s="5"/>
      <c r="H11" s="5"/>
    </row>
    <row r="12">
      <c r="A12" s="177" t="s">
        <v>319</v>
      </c>
      <c r="B12" s="177"/>
      <c r="C12" s="177"/>
      <c r="D12" s="177"/>
      <c r="E12" s="177"/>
      <c r="F12" s="177"/>
      <c r="G12" s="177"/>
      <c r="H12" s="177"/>
    </row>
    <row r="13">
      <c r="A13" s="5" t="s">
        <v>320</v>
      </c>
      <c r="B13" s="5">
        <v>1.0</v>
      </c>
      <c r="C13" s="8">
        <v>150.0</v>
      </c>
      <c r="D13" s="179">
        <f>Assumptions!$B$63*C13</f>
        <v>300000</v>
      </c>
      <c r="E13" s="179"/>
      <c r="F13" s="179"/>
      <c r="G13" s="113">
        <f t="shared" ref="G13:G14" si="2">B13*C13</f>
        <v>150</v>
      </c>
      <c r="H13" s="5" t="s">
        <v>321</v>
      </c>
    </row>
    <row r="14">
      <c r="A14" s="5" t="s">
        <v>322</v>
      </c>
      <c r="B14" s="8">
        <v>1.0</v>
      </c>
      <c r="C14" s="8">
        <v>6000.0</v>
      </c>
      <c r="D14" s="180">
        <f>G23</f>
        <v>150000</v>
      </c>
      <c r="E14" s="8"/>
      <c r="F14" s="8"/>
      <c r="G14" s="113">
        <f t="shared" si="2"/>
        <v>6000</v>
      </c>
      <c r="H14" s="5" t="s">
        <v>323</v>
      </c>
    </row>
    <row r="15">
      <c r="A15" s="5"/>
      <c r="B15" s="5"/>
      <c r="C15" s="5"/>
      <c r="D15" s="5"/>
      <c r="E15" s="5"/>
      <c r="F15" s="5"/>
      <c r="G15" s="5"/>
      <c r="H15" s="5"/>
    </row>
    <row r="16">
      <c r="A16" s="4" t="s">
        <v>324</v>
      </c>
      <c r="B16" s="4"/>
      <c r="C16" s="4"/>
      <c r="D16" s="4"/>
      <c r="E16" s="181">
        <f>SUM(E5:E15)</f>
        <v>1545000</v>
      </c>
      <c r="F16" s="4"/>
      <c r="G16" s="4"/>
      <c r="H16" s="4"/>
    </row>
    <row r="17">
      <c r="A17" s="5"/>
      <c r="B17" s="5"/>
      <c r="C17" s="8"/>
      <c r="D17" s="8"/>
      <c r="E17" s="8"/>
      <c r="F17" s="8"/>
      <c r="G17" s="5" t="s">
        <v>325</v>
      </c>
      <c r="H17" s="5" t="s">
        <v>326</v>
      </c>
    </row>
    <row r="18">
      <c r="A18" s="5"/>
      <c r="B18" s="5"/>
      <c r="C18" s="5"/>
      <c r="D18" s="5"/>
      <c r="E18" s="5"/>
      <c r="F18" s="5"/>
      <c r="G18" s="5"/>
      <c r="H18" s="5"/>
    </row>
    <row r="19">
      <c r="A19" s="177" t="s">
        <v>327</v>
      </c>
      <c r="B19" s="177"/>
      <c r="C19" s="177"/>
      <c r="D19" s="177"/>
      <c r="E19" s="177"/>
      <c r="F19" s="177"/>
      <c r="G19" s="177"/>
      <c r="H19" s="177"/>
    </row>
    <row r="20">
      <c r="A20" s="5" t="s">
        <v>328</v>
      </c>
      <c r="B20" s="5">
        <v>1.0</v>
      </c>
      <c r="C20" s="12">
        <v>550000.0</v>
      </c>
      <c r="D20" s="12"/>
      <c r="E20" s="12"/>
      <c r="F20" s="12"/>
      <c r="G20" s="15">
        <f t="shared" ref="G20:G25" si="3">C20*B20</f>
        <v>550000</v>
      </c>
      <c r="H20" s="5" t="s">
        <v>329</v>
      </c>
    </row>
    <row r="21" ht="15.75" customHeight="1">
      <c r="A21" s="5" t="s">
        <v>330</v>
      </c>
      <c r="B21" s="5">
        <v>1.0</v>
      </c>
      <c r="C21" s="12">
        <v>75000.0</v>
      </c>
      <c r="D21" s="12"/>
      <c r="E21" s="12"/>
      <c r="F21" s="12"/>
      <c r="G21" s="15">
        <f t="shared" si="3"/>
        <v>75000</v>
      </c>
      <c r="H21" s="8" t="s">
        <v>331</v>
      </c>
    </row>
    <row r="22" ht="15.75" customHeight="1">
      <c r="A22" s="5" t="s">
        <v>332</v>
      </c>
      <c r="B22" s="5">
        <v>1.0</v>
      </c>
      <c r="C22" s="12">
        <v>50000.0</v>
      </c>
      <c r="D22" s="12"/>
      <c r="E22" s="12"/>
      <c r="F22" s="12"/>
      <c r="G22" s="15">
        <f t="shared" si="3"/>
        <v>50000</v>
      </c>
      <c r="H22" s="5"/>
    </row>
    <row r="23" ht="15.75" customHeight="1">
      <c r="A23" s="5" t="s">
        <v>333</v>
      </c>
      <c r="B23" s="5">
        <v>6.0</v>
      </c>
      <c r="C23" s="12">
        <v>25000.0</v>
      </c>
      <c r="D23" s="12"/>
      <c r="E23" s="12"/>
      <c r="F23" s="12"/>
      <c r="G23" s="15">
        <f t="shared" si="3"/>
        <v>150000</v>
      </c>
      <c r="H23" s="5" t="s">
        <v>334</v>
      </c>
    </row>
    <row r="24" ht="15.75" customHeight="1">
      <c r="A24" s="8" t="s">
        <v>335</v>
      </c>
      <c r="B24" s="8">
        <v>1.0</v>
      </c>
      <c r="C24" s="22">
        <v>200000.0</v>
      </c>
      <c r="D24" s="182"/>
      <c r="E24" s="182"/>
      <c r="F24" s="182"/>
      <c r="G24" s="15">
        <f t="shared" si="3"/>
        <v>200000</v>
      </c>
      <c r="H24" s="5"/>
    </row>
    <row r="25" ht="15.75" customHeight="1">
      <c r="A25" s="8" t="s">
        <v>336</v>
      </c>
      <c r="B25" s="8">
        <v>1.0</v>
      </c>
      <c r="C25" s="22">
        <v>300000.0</v>
      </c>
      <c r="D25" s="182"/>
      <c r="E25" s="182"/>
      <c r="F25" s="182"/>
      <c r="G25" s="15">
        <f t="shared" si="3"/>
        <v>300000</v>
      </c>
      <c r="H25" s="5"/>
    </row>
    <row r="26" ht="15.75" customHeight="1">
      <c r="A26" s="5" t="s">
        <v>337</v>
      </c>
      <c r="B26" s="5"/>
      <c r="C26" s="5"/>
      <c r="D26" s="5"/>
      <c r="E26" s="5"/>
      <c r="F26" s="5"/>
      <c r="G26" s="15">
        <f>SUM(G20:G25)</f>
        <v>1325000</v>
      </c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177" t="s">
        <v>338</v>
      </c>
      <c r="B28" s="177"/>
      <c r="C28" s="177"/>
      <c r="D28" s="177"/>
      <c r="E28" s="177"/>
      <c r="F28" s="177"/>
      <c r="G28" s="177"/>
      <c r="H28" s="177"/>
    </row>
    <row r="29" ht="15.75" customHeight="1">
      <c r="A29" s="5" t="s">
        <v>339</v>
      </c>
      <c r="B29" s="5">
        <v>10.0</v>
      </c>
      <c r="C29" s="12">
        <f>D6 / (1 + Assumptions!$B$64)</f>
        <v>120000</v>
      </c>
      <c r="D29" s="12"/>
      <c r="E29" s="12"/>
      <c r="F29" s="12"/>
      <c r="G29" s="15">
        <f t="shared" ref="G29:G30" si="4">C29*B29</f>
        <v>1200000</v>
      </c>
      <c r="H29" s="5"/>
    </row>
    <row r="30" ht="15.75" customHeight="1">
      <c r="A30" s="5" t="s">
        <v>340</v>
      </c>
      <c r="B30" s="5">
        <v>13.0</v>
      </c>
      <c r="C30" s="12">
        <f>D10 / (1 + Assumptions!$B$64)</f>
        <v>288000</v>
      </c>
      <c r="D30" s="12"/>
      <c r="E30" s="12"/>
      <c r="F30" s="12"/>
      <c r="G30" s="15">
        <f t="shared" si="4"/>
        <v>3744000</v>
      </c>
      <c r="H30" s="5"/>
    </row>
    <row r="31" ht="15.75" customHeight="1">
      <c r="A31" s="5" t="s">
        <v>341</v>
      </c>
      <c r="B31" s="5"/>
      <c r="C31" s="5"/>
      <c r="D31" s="5"/>
      <c r="E31" s="5"/>
      <c r="F31" s="5"/>
      <c r="G31" s="15">
        <f>SUM(G29:G30)</f>
        <v>4944000</v>
      </c>
      <c r="H31" s="8" t="s">
        <v>342</v>
      </c>
    </row>
    <row r="32" ht="15.75" customHeight="1">
      <c r="A32" s="8" t="s">
        <v>343</v>
      </c>
      <c r="B32" s="5"/>
      <c r="C32" s="5"/>
      <c r="D32" s="5"/>
      <c r="E32" s="5"/>
      <c r="F32" s="5"/>
      <c r="G32" s="183">
        <f>G31+G26</f>
        <v>6269000</v>
      </c>
      <c r="H32" s="8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177" t="s">
        <v>344</v>
      </c>
      <c r="B34" s="177"/>
      <c r="C34" s="178" t="s">
        <v>345</v>
      </c>
      <c r="D34" s="177"/>
      <c r="E34" s="177"/>
      <c r="F34" s="177"/>
      <c r="G34" s="177"/>
      <c r="H34" s="177"/>
    </row>
    <row r="35" ht="15.75" customHeight="1">
      <c r="A35" s="5" t="s">
        <v>346</v>
      </c>
      <c r="B35" s="5">
        <v>10.0</v>
      </c>
      <c r="C35" s="12">
        <v>150.0</v>
      </c>
      <c r="D35" s="12"/>
      <c r="E35" s="12"/>
      <c r="F35" s="12"/>
      <c r="G35" s="15">
        <f t="shared" ref="G35:G36" si="5">C35*B35</f>
        <v>1500</v>
      </c>
      <c r="H35" s="5"/>
    </row>
    <row r="36" ht="15.75" customHeight="1">
      <c r="A36" s="5" t="s">
        <v>347</v>
      </c>
      <c r="B36" s="5">
        <v>13.0</v>
      </c>
      <c r="C36" s="18">
        <v>250.0</v>
      </c>
      <c r="D36" s="18"/>
      <c r="E36" s="18"/>
      <c r="F36" s="18"/>
      <c r="G36" s="15">
        <f t="shared" si="5"/>
        <v>3250</v>
      </c>
      <c r="H36" s="5"/>
    </row>
    <row r="37" ht="15.75" customHeight="1">
      <c r="A37" s="5" t="s">
        <v>348</v>
      </c>
      <c r="B37" s="5"/>
      <c r="C37" s="5"/>
      <c r="D37" s="5"/>
      <c r="E37" s="5"/>
      <c r="F37" s="5"/>
      <c r="G37" s="15">
        <f>SUM(G35:G36)*12</f>
        <v>57000</v>
      </c>
      <c r="H37" s="5"/>
    </row>
    <row r="38" ht="15.75" customHeight="1"/>
    <row r="39" ht="15.75" customHeight="1"/>
    <row r="40" ht="15.75" customHeight="1">
      <c r="A40" s="184"/>
      <c r="D40" s="13"/>
      <c r="E40" s="13"/>
      <c r="F40" s="13"/>
    </row>
    <row r="41" ht="15.75" customHeight="1">
      <c r="I41" s="23"/>
    </row>
    <row r="42" ht="15.75" customHeight="1">
      <c r="D42" s="13"/>
      <c r="E42" s="13"/>
      <c r="F42" s="13"/>
      <c r="H42" s="185"/>
      <c r="I42" s="185"/>
      <c r="J42" s="185"/>
      <c r="K42" s="185"/>
    </row>
    <row r="43" ht="15.75" customHeight="1">
      <c r="D43" s="13"/>
      <c r="E43" s="13"/>
      <c r="F43" s="13"/>
      <c r="H43" s="185"/>
      <c r="I43" s="185"/>
      <c r="J43" s="185"/>
      <c r="K43" s="18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0"/>
  </cols>
  <sheetData>
    <row r="1">
      <c r="A1" s="138" t="s">
        <v>214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40"/>
    </row>
    <row r="2">
      <c r="A2" s="141"/>
      <c r="B2" s="142"/>
      <c r="C2" s="142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68"/>
      <c r="O2" s="109"/>
      <c r="P2" s="109"/>
    </row>
    <row r="3">
      <c r="A3" s="144" t="s">
        <v>148</v>
      </c>
      <c r="B3" s="144">
        <v>2026.0</v>
      </c>
      <c r="C3" s="144">
        <v>2027.0</v>
      </c>
      <c r="D3" s="144">
        <v>2028.0</v>
      </c>
      <c r="E3" s="144">
        <v>2029.0</v>
      </c>
      <c r="F3" s="144">
        <v>2030.0</v>
      </c>
      <c r="G3" s="144">
        <v>2031.0</v>
      </c>
      <c r="H3" s="144">
        <v>2032.0</v>
      </c>
      <c r="I3" s="144">
        <v>2033.0</v>
      </c>
      <c r="J3" s="144">
        <v>2034.0</v>
      </c>
      <c r="K3" s="144">
        <v>2035.0</v>
      </c>
      <c r="L3" s="144">
        <v>2036.0</v>
      </c>
      <c r="M3" s="144">
        <v>2037.0</v>
      </c>
      <c r="N3" s="144">
        <v>2038.0</v>
      </c>
      <c r="O3" s="144">
        <v>2039.0</v>
      </c>
      <c r="P3" s="144">
        <v>2040.0</v>
      </c>
    </row>
    <row r="4">
      <c r="A4" s="145" t="s">
        <v>215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</row>
    <row r="5">
      <c r="A5" s="147" t="s">
        <v>216</v>
      </c>
      <c r="B5" s="81">
        <v>0.0</v>
      </c>
      <c r="C5" s="81">
        <v>0.0</v>
      </c>
      <c r="D5" s="148">
        <f>PL!B19</f>
        <v>188181.9802</v>
      </c>
      <c r="E5" s="148">
        <f>PL!C19</f>
        <v>200892.9027</v>
      </c>
      <c r="F5" s="148">
        <f>PL!D19</f>
        <v>234094.2343</v>
      </c>
      <c r="G5" s="148">
        <f>PL!E19</f>
        <v>259381.7746</v>
      </c>
      <c r="H5" s="148">
        <f>PL!F19</f>
        <v>289361.2963</v>
      </c>
      <c r="I5" s="148">
        <f>PL!G19</f>
        <v>325551.3167</v>
      </c>
      <c r="J5" s="148">
        <f>PL!H19</f>
        <v>360232.8286</v>
      </c>
      <c r="K5" s="148">
        <f>PL!I19</f>
        <v>393601.2957</v>
      </c>
      <c r="L5" s="148">
        <f>PL!J19</f>
        <v>429817.8104</v>
      </c>
      <c r="M5" s="148">
        <f>PL!K19</f>
        <v>469110.3436</v>
      </c>
      <c r="N5" s="148">
        <f>PL!L19</f>
        <v>511725.0944</v>
      </c>
      <c r="O5" s="148">
        <f>PL!M19</f>
        <v>557927.9482</v>
      </c>
      <c r="P5" s="148">
        <f>PL!N19</f>
        <v>608006.0512</v>
      </c>
    </row>
    <row r="6">
      <c r="A6" s="147" t="s">
        <v>217</v>
      </c>
      <c r="B6" s="81">
        <v>0.0</v>
      </c>
      <c r="C6" s="81">
        <v>0.0</v>
      </c>
      <c r="D6" s="148">
        <v>78000.0</v>
      </c>
      <c r="E6" s="148">
        <v>78000.0</v>
      </c>
      <c r="F6" s="148">
        <v>70000.0</v>
      </c>
      <c r="G6" s="148">
        <v>65000.0</v>
      </c>
      <c r="H6" s="148">
        <v>60000.0</v>
      </c>
      <c r="I6" s="148">
        <v>50000.0</v>
      </c>
      <c r="J6" s="148">
        <v>45000.0</v>
      </c>
      <c r="K6" s="148">
        <v>45000.0</v>
      </c>
      <c r="L6" s="148">
        <v>45000.0</v>
      </c>
      <c r="M6" s="148">
        <v>45000.0</v>
      </c>
      <c r="N6" s="148">
        <v>45000.0</v>
      </c>
      <c r="O6" s="148">
        <v>45000.0</v>
      </c>
      <c r="P6" s="148">
        <v>45000.0</v>
      </c>
    </row>
    <row r="7">
      <c r="A7" s="147" t="s">
        <v>218</v>
      </c>
      <c r="B7" s="81">
        <v>0.0</v>
      </c>
      <c r="C7" s="81">
        <v>0.0</v>
      </c>
      <c r="D7" s="148">
        <v>0.0</v>
      </c>
      <c r="E7" s="148">
        <v>0.0</v>
      </c>
      <c r="F7" s="148">
        <v>0.0</v>
      </c>
      <c r="G7" s="148">
        <v>0.0</v>
      </c>
      <c r="H7" s="148">
        <v>0.0</v>
      </c>
      <c r="I7" s="148">
        <v>0.0</v>
      </c>
      <c r="J7" s="148">
        <v>0.0</v>
      </c>
      <c r="K7" s="148">
        <v>0.0</v>
      </c>
      <c r="L7" s="148">
        <v>0.0</v>
      </c>
      <c r="M7" s="148">
        <v>0.0</v>
      </c>
      <c r="N7" s="148">
        <v>0.0</v>
      </c>
      <c r="O7" s="148">
        <v>0.0</v>
      </c>
      <c r="P7" s="148">
        <v>0.0</v>
      </c>
    </row>
    <row r="8">
      <c r="A8" s="149" t="s">
        <v>219</v>
      </c>
      <c r="B8" s="150">
        <f t="shared" ref="B8:P8" si="1">SUM(B5:B7)</f>
        <v>0</v>
      </c>
      <c r="C8" s="150">
        <f t="shared" si="1"/>
        <v>0</v>
      </c>
      <c r="D8" s="150">
        <f t="shared" si="1"/>
        <v>266181.9802</v>
      </c>
      <c r="E8" s="150">
        <f t="shared" si="1"/>
        <v>278892.9027</v>
      </c>
      <c r="F8" s="150">
        <f t="shared" si="1"/>
        <v>304094.2343</v>
      </c>
      <c r="G8" s="150">
        <f t="shared" si="1"/>
        <v>324381.7746</v>
      </c>
      <c r="H8" s="150">
        <f t="shared" si="1"/>
        <v>349361.2963</v>
      </c>
      <c r="I8" s="150">
        <f t="shared" si="1"/>
        <v>375551.3167</v>
      </c>
      <c r="J8" s="150">
        <f t="shared" si="1"/>
        <v>405232.8286</v>
      </c>
      <c r="K8" s="150">
        <f t="shared" si="1"/>
        <v>438601.2957</v>
      </c>
      <c r="L8" s="150">
        <f t="shared" si="1"/>
        <v>474817.8104</v>
      </c>
      <c r="M8" s="150">
        <f t="shared" si="1"/>
        <v>514110.3436</v>
      </c>
      <c r="N8" s="150">
        <f t="shared" si="1"/>
        <v>556725.0944</v>
      </c>
      <c r="O8" s="150">
        <f t="shared" si="1"/>
        <v>602927.9482</v>
      </c>
      <c r="P8" s="150">
        <f t="shared" si="1"/>
        <v>653006.0512</v>
      </c>
    </row>
    <row r="9">
      <c r="A9" s="151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</row>
    <row r="10">
      <c r="A10" s="145" t="s">
        <v>220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</row>
    <row r="11">
      <c r="A11" s="78" t="s">
        <v>221</v>
      </c>
      <c r="B11" s="81">
        <v>-200000.0</v>
      </c>
      <c r="C11" s="81">
        <v>0.0</v>
      </c>
      <c r="D11" s="81">
        <v>0.0</v>
      </c>
      <c r="E11" s="81">
        <v>0.0</v>
      </c>
      <c r="F11" s="81">
        <v>0.0</v>
      </c>
      <c r="G11" s="81">
        <v>0.0</v>
      </c>
      <c r="H11" s="81">
        <v>0.0</v>
      </c>
      <c r="I11" s="81">
        <v>0.0</v>
      </c>
      <c r="J11" s="81">
        <v>0.0</v>
      </c>
      <c r="K11" s="81">
        <v>0.0</v>
      </c>
      <c r="L11" s="81">
        <v>0.0</v>
      </c>
      <c r="M11" s="81">
        <v>0.0</v>
      </c>
      <c r="N11" s="81">
        <v>0.0</v>
      </c>
      <c r="O11" s="81">
        <v>0.0</v>
      </c>
      <c r="P11" s="81">
        <v>0.0</v>
      </c>
    </row>
    <row r="12">
      <c r="A12" s="78" t="s">
        <v>222</v>
      </c>
      <c r="B12" s="81">
        <v>-800000.0</v>
      </c>
      <c r="C12" s="81">
        <v>-250000.0</v>
      </c>
      <c r="D12" s="81">
        <v>-50000.0</v>
      </c>
      <c r="E12" s="81">
        <v>-50000.0</v>
      </c>
      <c r="F12" s="81">
        <v>-50000.0</v>
      </c>
      <c r="G12" s="81">
        <v>-50000.0</v>
      </c>
      <c r="H12" s="81">
        <v>-50000.0</v>
      </c>
      <c r="I12" s="81">
        <v>-50000.0</v>
      </c>
      <c r="J12" s="81">
        <v>-50000.0</v>
      </c>
      <c r="K12" s="81">
        <v>-50000.0</v>
      </c>
      <c r="L12" s="81">
        <v>-50000.0</v>
      </c>
      <c r="M12" s="81">
        <v>-50000.0</v>
      </c>
      <c r="N12" s="81">
        <v>-50000.0</v>
      </c>
      <c r="O12" s="81">
        <v>-50000.0</v>
      </c>
      <c r="P12" s="81">
        <v>-50000.0</v>
      </c>
    </row>
    <row r="13">
      <c r="A13" s="78" t="s">
        <v>223</v>
      </c>
      <c r="B13" s="81">
        <v>-50000.0</v>
      </c>
      <c r="C13" s="81">
        <v>-100000.0</v>
      </c>
      <c r="D13" s="81">
        <v>0.0</v>
      </c>
      <c r="E13" s="81">
        <v>0.0</v>
      </c>
      <c r="F13" s="81">
        <v>0.0</v>
      </c>
      <c r="G13" s="81">
        <v>0.0</v>
      </c>
      <c r="H13" s="81">
        <v>0.0</v>
      </c>
      <c r="I13" s="81">
        <v>0.0</v>
      </c>
      <c r="J13" s="81">
        <v>0.0</v>
      </c>
      <c r="K13" s="81">
        <v>0.0</v>
      </c>
      <c r="L13" s="81">
        <v>0.0</v>
      </c>
      <c r="M13" s="81">
        <v>0.0</v>
      </c>
      <c r="N13" s="81">
        <v>0.0</v>
      </c>
      <c r="O13" s="81">
        <v>0.0</v>
      </c>
      <c r="P13" s="81">
        <v>0.0</v>
      </c>
    </row>
    <row r="14">
      <c r="A14" s="78" t="s">
        <v>349</v>
      </c>
      <c r="B14" s="81">
        <f>-'Co-Housing'!G20-50000</f>
        <v>-600000</v>
      </c>
      <c r="C14" s="81">
        <f>-'Co-Housing'!G21-'Co-Housing'!G24</f>
        <v>-275000</v>
      </c>
      <c r="D14" s="81">
        <f>-'Co-Housing'!G23/2-'Co-Housing'!G22</f>
        <v>-125000</v>
      </c>
      <c r="E14" s="81">
        <f>-'Co-Housing'!$G$25/2</f>
        <v>-150000</v>
      </c>
      <c r="F14" s="81">
        <v>0.0</v>
      </c>
      <c r="G14" s="81">
        <f>-'Co-Housing'!$G$25/2</f>
        <v>-150000</v>
      </c>
      <c r="H14" s="81">
        <v>0.0</v>
      </c>
      <c r="I14" s="81">
        <v>0.0</v>
      </c>
      <c r="J14" s="81">
        <v>0.0</v>
      </c>
      <c r="K14" s="81">
        <v>0.0</v>
      </c>
      <c r="L14" s="81">
        <v>0.0</v>
      </c>
      <c r="M14" s="81">
        <v>0.0</v>
      </c>
      <c r="N14" s="81">
        <v>0.0</v>
      </c>
      <c r="O14" s="81">
        <v>0.0</v>
      </c>
      <c r="P14" s="81">
        <v>0.0</v>
      </c>
    </row>
    <row r="15">
      <c r="A15" s="78" t="s">
        <v>350</v>
      </c>
      <c r="B15" s="81"/>
      <c r="C15" s="81">
        <f>-('Co-Housing'!$G$31)/3</f>
        <v>-1648000</v>
      </c>
      <c r="D15" s="81">
        <f>D22*-1</f>
        <v>-3826000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</row>
    <row r="16">
      <c r="A16" s="149" t="s">
        <v>224</v>
      </c>
      <c r="B16" s="150">
        <f t="shared" ref="B16:P16" si="2">Sum(B11:B15)</f>
        <v>-1650000</v>
      </c>
      <c r="C16" s="150">
        <f t="shared" si="2"/>
        <v>-2273000</v>
      </c>
      <c r="D16" s="150">
        <f t="shared" si="2"/>
        <v>-4001000</v>
      </c>
      <c r="E16" s="150">
        <f t="shared" si="2"/>
        <v>-200000</v>
      </c>
      <c r="F16" s="150">
        <f t="shared" si="2"/>
        <v>-50000</v>
      </c>
      <c r="G16" s="150">
        <f t="shared" si="2"/>
        <v>-200000</v>
      </c>
      <c r="H16" s="150">
        <f t="shared" si="2"/>
        <v>-50000</v>
      </c>
      <c r="I16" s="150">
        <f t="shared" si="2"/>
        <v>-50000</v>
      </c>
      <c r="J16" s="150">
        <f t="shared" si="2"/>
        <v>-50000</v>
      </c>
      <c r="K16" s="150">
        <f t="shared" si="2"/>
        <v>-50000</v>
      </c>
      <c r="L16" s="150">
        <f t="shared" si="2"/>
        <v>-50000</v>
      </c>
      <c r="M16" s="150">
        <f t="shared" si="2"/>
        <v>-50000</v>
      </c>
      <c r="N16" s="150">
        <f t="shared" si="2"/>
        <v>-50000</v>
      </c>
      <c r="O16" s="150">
        <f t="shared" si="2"/>
        <v>-50000</v>
      </c>
      <c r="P16" s="150">
        <f t="shared" si="2"/>
        <v>-50000</v>
      </c>
    </row>
    <row r="17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</row>
    <row r="18">
      <c r="A18" s="145" t="s">
        <v>225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</row>
    <row r="19">
      <c r="A19" s="78" t="s">
        <v>226</v>
      </c>
      <c r="B19" s="81">
        <f>'Debt Stack'!C19</f>
        <v>700000</v>
      </c>
      <c r="C19" s="81">
        <v>0.0</v>
      </c>
      <c r="D19" s="81"/>
      <c r="E19" s="148"/>
      <c r="F19" s="148"/>
      <c r="G19" s="148"/>
      <c r="H19" s="148"/>
      <c r="I19" s="148">
        <v>0.0</v>
      </c>
      <c r="J19" s="148">
        <v>0.0</v>
      </c>
      <c r="K19" s="148">
        <v>0.0</v>
      </c>
      <c r="L19" s="148">
        <v>0.0</v>
      </c>
      <c r="M19" s="148">
        <v>0.0</v>
      </c>
      <c r="N19" s="148">
        <v>0.0</v>
      </c>
      <c r="O19" s="148">
        <v>0.0</v>
      </c>
      <c r="P19" s="148">
        <v>0.0</v>
      </c>
    </row>
    <row r="20">
      <c r="A20" s="78" t="s">
        <v>227</v>
      </c>
      <c r="B20" s="81">
        <f>'Debt Stack'!C20</f>
        <v>-46666.66667</v>
      </c>
      <c r="C20" s="81">
        <f>-$B$19/15</f>
        <v>-46666.66667</v>
      </c>
      <c r="D20" s="81">
        <f t="shared" ref="D20:P20" si="3">-$B$19/15-$D$19/15</f>
        <v>-46666.66667</v>
      </c>
      <c r="E20" s="81">
        <f t="shared" si="3"/>
        <v>-46666.66667</v>
      </c>
      <c r="F20" s="81">
        <f t="shared" si="3"/>
        <v>-46666.66667</v>
      </c>
      <c r="G20" s="81">
        <f t="shared" si="3"/>
        <v>-46666.66667</v>
      </c>
      <c r="H20" s="81">
        <f t="shared" si="3"/>
        <v>-46666.66667</v>
      </c>
      <c r="I20" s="81">
        <f t="shared" si="3"/>
        <v>-46666.66667</v>
      </c>
      <c r="J20" s="81">
        <f t="shared" si="3"/>
        <v>-46666.66667</v>
      </c>
      <c r="K20" s="81">
        <f t="shared" si="3"/>
        <v>-46666.66667</v>
      </c>
      <c r="L20" s="81">
        <f t="shared" si="3"/>
        <v>-46666.66667</v>
      </c>
      <c r="M20" s="81">
        <f t="shared" si="3"/>
        <v>-46666.66667</v>
      </c>
      <c r="N20" s="81">
        <f t="shared" si="3"/>
        <v>-46666.66667</v>
      </c>
      <c r="O20" s="81">
        <f t="shared" si="3"/>
        <v>-46666.66667</v>
      </c>
      <c r="P20" s="81">
        <f t="shared" si="3"/>
        <v>-46666.66667</v>
      </c>
    </row>
    <row r="21">
      <c r="A21" s="78" t="s">
        <v>228</v>
      </c>
      <c r="B21" s="186">
        <v>150000.0</v>
      </c>
      <c r="C21" s="157">
        <v>250000.0</v>
      </c>
      <c r="D21" s="157">
        <v>250000.0</v>
      </c>
      <c r="E21" s="158">
        <v>150000.0</v>
      </c>
      <c r="F21" s="186">
        <v>100000.0</v>
      </c>
      <c r="G21" s="186">
        <v>0.0</v>
      </c>
      <c r="H21" s="148">
        <v>0.0</v>
      </c>
      <c r="I21" s="148">
        <v>0.0</v>
      </c>
      <c r="J21" s="148">
        <v>0.0</v>
      </c>
      <c r="K21" s="148">
        <v>0.0</v>
      </c>
      <c r="L21" s="148">
        <v>0.0</v>
      </c>
      <c r="M21" s="148">
        <v>0.0</v>
      </c>
      <c r="N21" s="148">
        <v>0.0</v>
      </c>
      <c r="O21" s="148">
        <v>0.0</v>
      </c>
      <c r="P21" s="148">
        <v>0.0</v>
      </c>
    </row>
    <row r="22">
      <c r="A22" s="78" t="s">
        <v>351</v>
      </c>
      <c r="B22" s="186">
        <v>0.0</v>
      </c>
      <c r="C22" s="186">
        <f>('Co-Housing'!$G$31+'Co-Housing'!$E$16)/3</f>
        <v>2163000</v>
      </c>
      <c r="D22" s="186">
        <f>('Co-Housing'!$G$31+'Co-Housing'!$E$16)/3*2-'Debt Stack'!C39</f>
        <v>3826000</v>
      </c>
      <c r="E22" s="158"/>
      <c r="F22" s="157"/>
      <c r="G22" s="157"/>
      <c r="H22" s="157"/>
      <c r="I22" s="148"/>
      <c r="J22" s="148"/>
      <c r="K22" s="148"/>
      <c r="L22" s="148"/>
      <c r="M22" s="148"/>
      <c r="N22" s="148"/>
      <c r="O22" s="148"/>
      <c r="P22" s="148"/>
    </row>
    <row r="23">
      <c r="A23" s="78" t="s">
        <v>229</v>
      </c>
      <c r="B23" s="81">
        <f>'Debt Stack'!C32</f>
        <v>450000</v>
      </c>
      <c r="C23" s="81"/>
      <c r="D23" s="81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</row>
    <row r="24">
      <c r="A24" s="78" t="s">
        <v>230</v>
      </c>
      <c r="B24" s="81">
        <f>'Debt Stack'!C49</f>
        <v>-50000</v>
      </c>
      <c r="C24" s="81">
        <f>'Debt Stack'!D49</f>
        <v>0</v>
      </c>
      <c r="D24" s="81">
        <f>'Debt Stack'!E49</f>
        <v>-262489.5888</v>
      </c>
      <c r="E24" s="81">
        <f>'Debt Stack'!F49</f>
        <v>-150000</v>
      </c>
      <c r="F24" s="81">
        <f>'Debt Stack'!G49</f>
        <v>-250007.9531</v>
      </c>
      <c r="G24" s="81">
        <f>'Debt Stack'!H49</f>
        <v>0</v>
      </c>
      <c r="H24" s="81">
        <f>'Debt Stack'!I49</f>
        <v>0</v>
      </c>
      <c r="I24" s="81">
        <f>'Debt Stack'!J49</f>
        <v>0</v>
      </c>
      <c r="J24" s="81">
        <f>'Debt Stack'!K49</f>
        <v>0</v>
      </c>
      <c r="K24" s="81">
        <f>'Debt Stack'!L49</f>
        <v>0</v>
      </c>
      <c r="L24" s="81">
        <f>'Debt Stack'!M49</f>
        <v>0</v>
      </c>
      <c r="M24" s="81">
        <f>'Debt Stack'!N49</f>
        <v>0</v>
      </c>
      <c r="N24" s="81">
        <f>'Debt Stack'!O49</f>
        <v>0</v>
      </c>
      <c r="O24" s="81">
        <f>'Debt Stack'!P49</f>
        <v>0</v>
      </c>
      <c r="P24" s="81">
        <f>'Debt Stack'!Q49</f>
        <v>0</v>
      </c>
    </row>
    <row r="25">
      <c r="A25" s="187" t="s">
        <v>352</v>
      </c>
      <c r="B25" s="81">
        <f>'Debt Stack'!C39</f>
        <v>500000</v>
      </c>
      <c r="C25" s="81"/>
      <c r="D25" s="81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</row>
    <row r="26">
      <c r="A26" s="149" t="s">
        <v>231</v>
      </c>
      <c r="B26" s="150">
        <f t="shared" ref="B26:P26" si="4">SUM(B19:B25)</f>
        <v>1703333.333</v>
      </c>
      <c r="C26" s="150">
        <f t="shared" si="4"/>
        <v>2366333.333</v>
      </c>
      <c r="D26" s="150">
        <f t="shared" si="4"/>
        <v>3766843.745</v>
      </c>
      <c r="E26" s="150">
        <f t="shared" si="4"/>
        <v>-46666.66667</v>
      </c>
      <c r="F26" s="150">
        <f t="shared" si="4"/>
        <v>-196674.6198</v>
      </c>
      <c r="G26" s="150">
        <f t="shared" si="4"/>
        <v>-46666.66667</v>
      </c>
      <c r="H26" s="150">
        <f t="shared" si="4"/>
        <v>-46666.66667</v>
      </c>
      <c r="I26" s="150">
        <f t="shared" si="4"/>
        <v>-46666.66667</v>
      </c>
      <c r="J26" s="150">
        <f t="shared" si="4"/>
        <v>-46666.66667</v>
      </c>
      <c r="K26" s="150">
        <f t="shared" si="4"/>
        <v>-46666.66667</v>
      </c>
      <c r="L26" s="150">
        <f t="shared" si="4"/>
        <v>-46666.66667</v>
      </c>
      <c r="M26" s="150">
        <f t="shared" si="4"/>
        <v>-46666.66667</v>
      </c>
      <c r="N26" s="150">
        <f t="shared" si="4"/>
        <v>-46666.66667</v>
      </c>
      <c r="O26" s="150">
        <f t="shared" si="4"/>
        <v>-46666.66667</v>
      </c>
      <c r="P26" s="150">
        <f t="shared" si="4"/>
        <v>-46666.66667</v>
      </c>
    </row>
    <row r="27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</row>
    <row r="28">
      <c r="A28" s="149" t="s">
        <v>232</v>
      </c>
      <c r="B28" s="150">
        <f t="shared" ref="B28:P28" si="5">B26+B16+B8</f>
        <v>53333.33333</v>
      </c>
      <c r="C28" s="150">
        <f t="shared" si="5"/>
        <v>93333.33333</v>
      </c>
      <c r="D28" s="150">
        <f t="shared" si="5"/>
        <v>32025.72474</v>
      </c>
      <c r="E28" s="150">
        <f t="shared" si="5"/>
        <v>32226.236</v>
      </c>
      <c r="F28" s="150">
        <f t="shared" si="5"/>
        <v>57419.61452</v>
      </c>
      <c r="G28" s="150">
        <f t="shared" si="5"/>
        <v>77715.1079</v>
      </c>
      <c r="H28" s="150">
        <f t="shared" si="5"/>
        <v>252694.6297</v>
      </c>
      <c r="I28" s="150">
        <f t="shared" si="5"/>
        <v>278884.6501</v>
      </c>
      <c r="J28" s="150">
        <f t="shared" si="5"/>
        <v>308566.1619</v>
      </c>
      <c r="K28" s="150">
        <f t="shared" si="5"/>
        <v>341934.629</v>
      </c>
      <c r="L28" s="150">
        <f t="shared" si="5"/>
        <v>378151.1437</v>
      </c>
      <c r="M28" s="150">
        <f t="shared" si="5"/>
        <v>417443.6769</v>
      </c>
      <c r="N28" s="150">
        <f t="shared" si="5"/>
        <v>460058.4277</v>
      </c>
      <c r="O28" s="150">
        <f t="shared" si="5"/>
        <v>506261.2815</v>
      </c>
      <c r="P28" s="150">
        <f t="shared" si="5"/>
        <v>556339.3846</v>
      </c>
    </row>
    <row r="29">
      <c r="A29" s="151"/>
      <c r="B29" s="159"/>
      <c r="C29" s="159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</row>
    <row r="30">
      <c r="A30" s="147" t="s">
        <v>233</v>
      </c>
      <c r="B30" s="81">
        <v>191449.0</v>
      </c>
      <c r="C30" s="148">
        <f t="shared" ref="C30:P30" si="6">B31</f>
        <v>244782.3333</v>
      </c>
      <c r="D30" s="148">
        <f t="shared" si="6"/>
        <v>338115.6667</v>
      </c>
      <c r="E30" s="148">
        <f t="shared" si="6"/>
        <v>370141.3914</v>
      </c>
      <c r="F30" s="148">
        <f t="shared" si="6"/>
        <v>402367.6274</v>
      </c>
      <c r="G30" s="148">
        <f t="shared" si="6"/>
        <v>459787.2419</v>
      </c>
      <c r="H30" s="148">
        <f t="shared" si="6"/>
        <v>537502.3498</v>
      </c>
      <c r="I30" s="148">
        <f t="shared" si="6"/>
        <v>790196.9795</v>
      </c>
      <c r="J30" s="148">
        <f t="shared" si="6"/>
        <v>1069081.63</v>
      </c>
      <c r="K30" s="148">
        <f t="shared" si="6"/>
        <v>1377647.791</v>
      </c>
      <c r="L30" s="148">
        <f t="shared" si="6"/>
        <v>1719582.42</v>
      </c>
      <c r="M30" s="148">
        <f t="shared" si="6"/>
        <v>2097733.564</v>
      </c>
      <c r="N30" s="148">
        <f t="shared" si="6"/>
        <v>2515177.241</v>
      </c>
      <c r="O30" s="148">
        <f t="shared" si="6"/>
        <v>2975235.669</v>
      </c>
      <c r="P30" s="148">
        <f t="shared" si="6"/>
        <v>3481496.95</v>
      </c>
    </row>
    <row r="31">
      <c r="A31" s="149" t="s">
        <v>234</v>
      </c>
      <c r="B31" s="150">
        <f t="shared" ref="B31:P31" si="7">B30+B28</f>
        <v>244782.3333</v>
      </c>
      <c r="C31" s="150">
        <f t="shared" si="7"/>
        <v>338115.6667</v>
      </c>
      <c r="D31" s="150">
        <f t="shared" si="7"/>
        <v>370141.3914</v>
      </c>
      <c r="E31" s="150">
        <f t="shared" si="7"/>
        <v>402367.6274</v>
      </c>
      <c r="F31" s="150">
        <f t="shared" si="7"/>
        <v>459787.2419</v>
      </c>
      <c r="G31" s="150">
        <f t="shared" si="7"/>
        <v>537502.3498</v>
      </c>
      <c r="H31" s="150">
        <f t="shared" si="7"/>
        <v>790196.9795</v>
      </c>
      <c r="I31" s="150">
        <f t="shared" si="7"/>
        <v>1069081.63</v>
      </c>
      <c r="J31" s="150">
        <f t="shared" si="7"/>
        <v>1377647.791</v>
      </c>
      <c r="K31" s="150">
        <f t="shared" si="7"/>
        <v>1719582.42</v>
      </c>
      <c r="L31" s="150">
        <f t="shared" si="7"/>
        <v>2097733.564</v>
      </c>
      <c r="M31" s="150">
        <f t="shared" si="7"/>
        <v>2515177.241</v>
      </c>
      <c r="N31" s="150">
        <f t="shared" si="7"/>
        <v>2975235.669</v>
      </c>
      <c r="O31" s="150">
        <f t="shared" si="7"/>
        <v>3481496.95</v>
      </c>
      <c r="P31" s="150">
        <f t="shared" si="7"/>
        <v>4037836.335</v>
      </c>
    </row>
  </sheetData>
  <mergeCells count="1">
    <mergeCell ref="A1:P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57"/>
  </cols>
  <sheetData>
    <row r="1">
      <c r="A1" s="138" t="s">
        <v>353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40"/>
      <c r="R1" s="109"/>
      <c r="S1" s="109"/>
      <c r="T1" s="109"/>
      <c r="U1" s="109"/>
      <c r="V1" s="109"/>
      <c r="W1" s="109"/>
      <c r="X1" s="109"/>
      <c r="Y1" s="109"/>
      <c r="Z1" s="109"/>
    </row>
    <row r="2">
      <c r="A2" s="141"/>
      <c r="B2" s="142"/>
      <c r="C2" s="142"/>
      <c r="D2" s="142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68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144" t="s">
        <v>148</v>
      </c>
      <c r="B3" s="160">
        <v>45931.0</v>
      </c>
      <c r="C3" s="144">
        <v>2026.0</v>
      </c>
      <c r="D3" s="144">
        <v>2027.0</v>
      </c>
      <c r="E3" s="144">
        <v>2028.0</v>
      </c>
      <c r="F3" s="144">
        <v>2029.0</v>
      </c>
      <c r="G3" s="144">
        <v>2030.0</v>
      </c>
      <c r="H3" s="144">
        <v>2031.0</v>
      </c>
      <c r="I3" s="144">
        <v>2032.0</v>
      </c>
      <c r="J3" s="144">
        <v>2033.0</v>
      </c>
      <c r="K3" s="144">
        <v>2034.0</v>
      </c>
      <c r="L3" s="144">
        <v>2035.0</v>
      </c>
      <c r="M3" s="144">
        <v>2036.0</v>
      </c>
      <c r="N3" s="144">
        <v>2037.0</v>
      </c>
      <c r="O3" s="144">
        <v>2038.0</v>
      </c>
      <c r="P3" s="144">
        <v>2039.0</v>
      </c>
      <c r="Q3" s="144">
        <v>2040.0</v>
      </c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145" t="s">
        <v>236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09"/>
      <c r="S4" s="109"/>
      <c r="T4" s="109"/>
      <c r="U4" s="109"/>
      <c r="V4" s="109"/>
      <c r="W4" s="109"/>
      <c r="X4" s="109"/>
      <c r="Y4" s="109"/>
      <c r="Z4" s="109"/>
    </row>
    <row r="5">
      <c r="A5" s="147" t="s">
        <v>237</v>
      </c>
      <c r="B5" s="161">
        <f>B8-B6-B7</f>
        <v>191449</v>
      </c>
      <c r="C5" s="81">
        <f>'Cash Flow (+cohousing)'!B31</f>
        <v>244782.3333</v>
      </c>
      <c r="D5" s="81">
        <f>'Cash Flow (+cohousing)'!C31</f>
        <v>338115.6667</v>
      </c>
      <c r="E5" s="81">
        <f>'Cash Flow (+cohousing)'!D31</f>
        <v>370141.3914</v>
      </c>
      <c r="F5" s="81">
        <f>'Cash Flow (+cohousing)'!E31</f>
        <v>402367.6274</v>
      </c>
      <c r="G5" s="81">
        <f>'Cash Flow (+cohousing)'!F31</f>
        <v>459787.2419</v>
      </c>
      <c r="H5" s="81">
        <f>'Cash Flow (+cohousing)'!G31</f>
        <v>537502.3498</v>
      </c>
      <c r="I5" s="81">
        <f>'Cash Flow (+cohousing)'!H31</f>
        <v>790196.9795</v>
      </c>
      <c r="J5" s="81">
        <f>'Cash Flow (+cohousing)'!I31</f>
        <v>1069081.63</v>
      </c>
      <c r="K5" s="81">
        <f>'Cash Flow (+cohousing)'!J31</f>
        <v>1377647.791</v>
      </c>
      <c r="L5" s="81">
        <f>'Cash Flow (+cohousing)'!K31</f>
        <v>1719582.42</v>
      </c>
      <c r="M5" s="81">
        <f>'Cash Flow (+cohousing)'!L31</f>
        <v>2097733.564</v>
      </c>
      <c r="N5" s="81">
        <f>'Cash Flow (+cohousing)'!M31</f>
        <v>2515177.241</v>
      </c>
      <c r="O5" s="81">
        <f>'Cash Flow (+cohousing)'!N31</f>
        <v>2975235.669</v>
      </c>
      <c r="P5" s="81">
        <f>'Cash Flow (+cohousing)'!O31</f>
        <v>3481496.95</v>
      </c>
      <c r="Q5" s="81">
        <f>'Cash Flow (+cohousing)'!P31</f>
        <v>4037836.335</v>
      </c>
      <c r="R5" s="109"/>
      <c r="S5" s="109"/>
      <c r="T5" s="109"/>
      <c r="U5" s="109"/>
      <c r="V5" s="109"/>
      <c r="W5" s="109"/>
      <c r="X5" s="109"/>
      <c r="Y5" s="109"/>
      <c r="Z5" s="109"/>
    </row>
    <row r="6">
      <c r="A6" s="147" t="s">
        <v>238</v>
      </c>
      <c r="B6" s="161">
        <v>155882.0</v>
      </c>
      <c r="C6" s="81">
        <f>B6+'Cash Flow (+cohousing)'!B16*-1</f>
        <v>1805882</v>
      </c>
      <c r="D6" s="81">
        <f>C6+'Cash Flow (+cohousing)'!C16*-1</f>
        <v>4078882</v>
      </c>
      <c r="E6" s="81">
        <f>D6+'Cash Flow (+cohousing)'!D16*-1</f>
        <v>8079882</v>
      </c>
      <c r="F6" s="81">
        <f>E6+'Cash Flow (+cohousing)'!E16*-1</f>
        <v>8279882</v>
      </c>
      <c r="G6" s="81">
        <f>F6+'Cash Flow (+cohousing)'!F16*-1</f>
        <v>8329882</v>
      </c>
      <c r="H6" s="81">
        <f>G6+'Cash Flow (+cohousing)'!G16*-1</f>
        <v>8529882</v>
      </c>
      <c r="I6" s="81">
        <f>H6+'Cash Flow (+cohousing)'!H16*-1</f>
        <v>8579882</v>
      </c>
      <c r="J6" s="81">
        <f>I6+'Cash Flow (+cohousing)'!I16*-1</f>
        <v>8629882</v>
      </c>
      <c r="K6" s="81">
        <f>J6+'Cash Flow (+cohousing)'!J16*-1</f>
        <v>8679882</v>
      </c>
      <c r="L6" s="81">
        <f>K6+'Cash Flow (+cohousing)'!K16*-1</f>
        <v>8729882</v>
      </c>
      <c r="M6" s="81">
        <f>L6+'Cash Flow (+cohousing)'!L16*-1</f>
        <v>8779882</v>
      </c>
      <c r="N6" s="81">
        <f>M6+'Cash Flow (+cohousing)'!M16*-1</f>
        <v>8829882</v>
      </c>
      <c r="O6" s="81">
        <f>N6+'Cash Flow (+cohousing)'!N16*-1</f>
        <v>8879882</v>
      </c>
      <c r="P6" s="81">
        <f>O6+'Cash Flow (+cohousing)'!O16*-1</f>
        <v>8929882</v>
      </c>
      <c r="Q6" s="81">
        <f>P6+'Cash Flow (+cohousing)'!P16*-1</f>
        <v>8979882</v>
      </c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147" t="s">
        <v>239</v>
      </c>
      <c r="B7" s="161">
        <v>143772.0</v>
      </c>
      <c r="C7" s="81">
        <f t="shared" ref="C7:Q7" si="1">B7</f>
        <v>143772</v>
      </c>
      <c r="D7" s="81">
        <f t="shared" si="1"/>
        <v>143772</v>
      </c>
      <c r="E7" s="81">
        <f t="shared" si="1"/>
        <v>143772</v>
      </c>
      <c r="F7" s="81">
        <f t="shared" si="1"/>
        <v>143772</v>
      </c>
      <c r="G7" s="81">
        <f t="shared" si="1"/>
        <v>143772</v>
      </c>
      <c r="H7" s="81">
        <f t="shared" si="1"/>
        <v>143772</v>
      </c>
      <c r="I7" s="81">
        <f t="shared" si="1"/>
        <v>143772</v>
      </c>
      <c r="J7" s="81">
        <f t="shared" si="1"/>
        <v>143772</v>
      </c>
      <c r="K7" s="81">
        <f t="shared" si="1"/>
        <v>143772</v>
      </c>
      <c r="L7" s="81">
        <f t="shared" si="1"/>
        <v>143772</v>
      </c>
      <c r="M7" s="81">
        <f t="shared" si="1"/>
        <v>143772</v>
      </c>
      <c r="N7" s="81">
        <f t="shared" si="1"/>
        <v>143772</v>
      </c>
      <c r="O7" s="81">
        <f t="shared" si="1"/>
        <v>143772</v>
      </c>
      <c r="P7" s="81">
        <f t="shared" si="1"/>
        <v>143772</v>
      </c>
      <c r="Q7" s="81">
        <f t="shared" si="1"/>
        <v>143772</v>
      </c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149" t="s">
        <v>240</v>
      </c>
      <c r="B8" s="150">
        <v>491103.0</v>
      </c>
      <c r="C8" s="150">
        <f t="shared" ref="C8:Q8" si="2">SUM(C5:C7)</f>
        <v>2194436.333</v>
      </c>
      <c r="D8" s="150">
        <f t="shared" si="2"/>
        <v>4560769.667</v>
      </c>
      <c r="E8" s="150">
        <f t="shared" si="2"/>
        <v>8593795.391</v>
      </c>
      <c r="F8" s="150">
        <f t="shared" si="2"/>
        <v>8826021.627</v>
      </c>
      <c r="G8" s="150">
        <f t="shared" si="2"/>
        <v>8933441.242</v>
      </c>
      <c r="H8" s="150">
        <f t="shared" si="2"/>
        <v>9211156.35</v>
      </c>
      <c r="I8" s="150">
        <f t="shared" si="2"/>
        <v>9513850.979</v>
      </c>
      <c r="J8" s="150">
        <f t="shared" si="2"/>
        <v>9842735.63</v>
      </c>
      <c r="K8" s="150">
        <f t="shared" si="2"/>
        <v>10201301.79</v>
      </c>
      <c r="L8" s="150">
        <f t="shared" si="2"/>
        <v>10593236.42</v>
      </c>
      <c r="M8" s="150">
        <f t="shared" si="2"/>
        <v>11021387.56</v>
      </c>
      <c r="N8" s="150">
        <f t="shared" si="2"/>
        <v>11488831.24</v>
      </c>
      <c r="O8" s="150">
        <f t="shared" si="2"/>
        <v>11998889.67</v>
      </c>
      <c r="P8" s="150">
        <f t="shared" si="2"/>
        <v>12555150.95</v>
      </c>
      <c r="Q8" s="150">
        <f t="shared" si="2"/>
        <v>13161490.33</v>
      </c>
      <c r="R8" s="109"/>
      <c r="S8" s="109"/>
      <c r="T8" s="109"/>
      <c r="U8" s="109"/>
      <c r="V8" s="109"/>
      <c r="W8" s="109"/>
      <c r="X8" s="109"/>
      <c r="Y8" s="109"/>
      <c r="Z8" s="109"/>
    </row>
    <row r="9">
      <c r="A9" s="151"/>
      <c r="B9" s="159"/>
      <c r="C9" s="159"/>
      <c r="D9" s="159"/>
      <c r="E9" s="159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09"/>
      <c r="S9" s="109"/>
      <c r="T9" s="109"/>
      <c r="U9" s="109"/>
      <c r="V9" s="109"/>
      <c r="W9" s="109"/>
      <c r="X9" s="109"/>
      <c r="Y9" s="109"/>
      <c r="Z9" s="109"/>
    </row>
    <row r="10">
      <c r="A10" s="145" t="s">
        <v>241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09"/>
      <c r="S10" s="109"/>
      <c r="T10" s="109"/>
      <c r="U10" s="109"/>
      <c r="V10" s="109"/>
      <c r="W10" s="109"/>
      <c r="X10" s="109"/>
      <c r="Y10" s="109"/>
      <c r="Z10" s="109"/>
    </row>
    <row r="11">
      <c r="A11" s="147" t="s">
        <v>242</v>
      </c>
      <c r="B11" s="161">
        <v>0.0</v>
      </c>
      <c r="C11" s="81">
        <f>'Debt Stack'!C22</f>
        <v>653333.3333</v>
      </c>
      <c r="D11" s="81">
        <f>'Debt Stack'!D22</f>
        <v>606666.6667</v>
      </c>
      <c r="E11" s="81">
        <f>'Debt Stack'!E22</f>
        <v>560000</v>
      </c>
      <c r="F11" s="81">
        <f>'Debt Stack'!F22</f>
        <v>513333.3333</v>
      </c>
      <c r="G11" s="81">
        <f>'Debt Stack'!G22</f>
        <v>466666.6667</v>
      </c>
      <c r="H11" s="81">
        <f>'Debt Stack'!H22</f>
        <v>420000</v>
      </c>
      <c r="I11" s="81">
        <f>'Debt Stack'!I22</f>
        <v>373333.3333</v>
      </c>
      <c r="J11" s="81">
        <f>'Debt Stack'!J22</f>
        <v>326666.6667</v>
      </c>
      <c r="K11" s="81">
        <f>'Debt Stack'!K22</f>
        <v>280000</v>
      </c>
      <c r="L11" s="81">
        <f>'Debt Stack'!L22</f>
        <v>233333.3333</v>
      </c>
      <c r="M11" s="81">
        <f>'Debt Stack'!M22</f>
        <v>186666.6667</v>
      </c>
      <c r="N11" s="81">
        <f>'Debt Stack'!N22</f>
        <v>140000</v>
      </c>
      <c r="O11" s="81">
        <f>'Debt Stack'!O22</f>
        <v>93333.33333</v>
      </c>
      <c r="P11" s="81">
        <f>'Debt Stack'!P22</f>
        <v>46666.66667</v>
      </c>
      <c r="Q11" s="81">
        <f>'Debt Stack'!Q22</f>
        <v>0</v>
      </c>
      <c r="R11" s="109"/>
      <c r="S11" s="109"/>
      <c r="T11" s="109"/>
      <c r="U11" s="109"/>
      <c r="V11" s="109"/>
      <c r="W11" s="109"/>
      <c r="X11" s="109"/>
      <c r="Y11" s="109"/>
      <c r="Z11" s="109"/>
    </row>
    <row r="12">
      <c r="A12" s="147" t="s">
        <v>243</v>
      </c>
      <c r="B12" s="161">
        <v>363111.0</v>
      </c>
      <c r="C12" s="81">
        <f>'Debt Stack'!C29+'Debt Stack'!C36</f>
        <v>731028.77</v>
      </c>
      <c r="D12" s="81">
        <f>'Debt Stack'!D29+'Debt Stack'!D36</f>
        <v>672750.7839</v>
      </c>
      <c r="E12" s="81">
        <f>'Debt Stack'!E29+'Debt Stack'!E36</f>
        <v>393431.25</v>
      </c>
      <c r="F12" s="81">
        <f>'Debt Stack'!F29+'Debt Stack'!F36</f>
        <v>238102.8125</v>
      </c>
      <c r="G12" s="81">
        <f>'Debt Stack'!G29+'Debt Stack'!G36</f>
        <v>0</v>
      </c>
      <c r="H12" s="81">
        <f>'Debt Stack'!H29+'Debt Stack'!H36</f>
        <v>0</v>
      </c>
      <c r="I12" s="81">
        <f>'Debt Stack'!I29+'Debt Stack'!I36</f>
        <v>0</v>
      </c>
      <c r="J12" s="81">
        <f>'Debt Stack'!J29+'Debt Stack'!J36</f>
        <v>0</v>
      </c>
      <c r="K12" s="81">
        <f>'Debt Stack'!K29+'Debt Stack'!K36</f>
        <v>0</v>
      </c>
      <c r="L12" s="81">
        <f>'Debt Stack'!L29+'Debt Stack'!L36</f>
        <v>0</v>
      </c>
      <c r="M12" s="81">
        <f>'Debt Stack'!M29+'Debt Stack'!M36</f>
        <v>0</v>
      </c>
      <c r="N12" s="81">
        <f>'Debt Stack'!N29+'Debt Stack'!N36</f>
        <v>0</v>
      </c>
      <c r="O12" s="81">
        <f>'Debt Stack'!O29+'Debt Stack'!O36</f>
        <v>0</v>
      </c>
      <c r="P12" s="81">
        <f>'Debt Stack'!P29+'Debt Stack'!P36</f>
        <v>0</v>
      </c>
      <c r="Q12" s="81">
        <f>'Debt Stack'!Q29+'Debt Stack'!Q36</f>
        <v>0</v>
      </c>
      <c r="R12" s="109"/>
      <c r="S12" s="109"/>
      <c r="T12" s="109"/>
      <c r="U12" s="109"/>
      <c r="V12" s="109"/>
      <c r="W12" s="109"/>
      <c r="X12" s="109"/>
      <c r="Y12" s="109"/>
      <c r="Z12" s="109"/>
    </row>
    <row r="13">
      <c r="A13" s="188" t="s">
        <v>352</v>
      </c>
      <c r="B13" s="161">
        <v>0.0</v>
      </c>
      <c r="C13" s="81">
        <f>'Debt Stack'!C43</f>
        <v>460000</v>
      </c>
      <c r="D13" s="81">
        <f>'Debt Stack'!D43</f>
        <v>219200</v>
      </c>
      <c r="E13" s="81">
        <f>'Debt Stack'!E43</f>
        <v>0</v>
      </c>
      <c r="F13" s="81">
        <f>'Debt Stack'!F43</f>
        <v>0</v>
      </c>
      <c r="G13" s="81">
        <f>'Debt Stack'!G43</f>
        <v>0</v>
      </c>
      <c r="H13" s="81">
        <f>'Debt Stack'!H43</f>
        <v>0</v>
      </c>
      <c r="I13" s="81">
        <f>'Debt Stack'!I43</f>
        <v>0</v>
      </c>
      <c r="J13" s="81">
        <f>'Debt Stack'!J43</f>
        <v>0</v>
      </c>
      <c r="K13" s="81">
        <f>'Debt Stack'!K43</f>
        <v>0</v>
      </c>
      <c r="L13" s="81">
        <f>'Debt Stack'!L43</f>
        <v>0</v>
      </c>
      <c r="M13" s="81">
        <f>'Debt Stack'!M43</f>
        <v>0</v>
      </c>
      <c r="N13" s="81">
        <f>'Debt Stack'!N43</f>
        <v>0</v>
      </c>
      <c r="O13" s="81">
        <f>'Debt Stack'!O43</f>
        <v>0</v>
      </c>
      <c r="P13" s="81">
        <f>'Debt Stack'!P43</f>
        <v>0</v>
      </c>
      <c r="Q13" s="81">
        <f>'Debt Stack'!Q43</f>
        <v>0</v>
      </c>
      <c r="R13" s="109"/>
      <c r="S13" s="109"/>
      <c r="T13" s="109"/>
      <c r="U13" s="109"/>
      <c r="V13" s="109"/>
      <c r="W13" s="109"/>
      <c r="X13" s="109"/>
      <c r="Y13" s="109"/>
      <c r="Z13" s="109"/>
    </row>
    <row r="14">
      <c r="A14" s="147" t="s">
        <v>244</v>
      </c>
      <c r="B14" s="161">
        <v>44792.0</v>
      </c>
      <c r="C14" s="81">
        <f t="shared" ref="C14:Q14" si="3">B14</f>
        <v>44792</v>
      </c>
      <c r="D14" s="81">
        <f t="shared" si="3"/>
        <v>44792</v>
      </c>
      <c r="E14" s="81">
        <f t="shared" si="3"/>
        <v>44792</v>
      </c>
      <c r="F14" s="81">
        <f t="shared" si="3"/>
        <v>44792</v>
      </c>
      <c r="G14" s="81">
        <f t="shared" si="3"/>
        <v>44792</v>
      </c>
      <c r="H14" s="81">
        <f t="shared" si="3"/>
        <v>44792</v>
      </c>
      <c r="I14" s="81">
        <f t="shared" si="3"/>
        <v>44792</v>
      </c>
      <c r="J14" s="81">
        <f t="shared" si="3"/>
        <v>44792</v>
      </c>
      <c r="K14" s="81">
        <f t="shared" si="3"/>
        <v>44792</v>
      </c>
      <c r="L14" s="81">
        <f t="shared" si="3"/>
        <v>44792</v>
      </c>
      <c r="M14" s="81">
        <f t="shared" si="3"/>
        <v>44792</v>
      </c>
      <c r="N14" s="81">
        <f t="shared" si="3"/>
        <v>44792</v>
      </c>
      <c r="O14" s="81">
        <f t="shared" si="3"/>
        <v>44792</v>
      </c>
      <c r="P14" s="81">
        <f t="shared" si="3"/>
        <v>44792</v>
      </c>
      <c r="Q14" s="81">
        <f t="shared" si="3"/>
        <v>44792</v>
      </c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149" t="s">
        <v>245</v>
      </c>
      <c r="B15" s="150">
        <f t="shared" ref="B15:Q15" si="4">SUM(B11:B14)</f>
        <v>407903</v>
      </c>
      <c r="C15" s="150">
        <f t="shared" si="4"/>
        <v>1889154.103</v>
      </c>
      <c r="D15" s="150">
        <f t="shared" si="4"/>
        <v>1543409.451</v>
      </c>
      <c r="E15" s="150">
        <f t="shared" si="4"/>
        <v>998223.25</v>
      </c>
      <c r="F15" s="150">
        <f t="shared" si="4"/>
        <v>796228.1458</v>
      </c>
      <c r="G15" s="150">
        <f t="shared" si="4"/>
        <v>511458.6667</v>
      </c>
      <c r="H15" s="150">
        <f t="shared" si="4"/>
        <v>464792</v>
      </c>
      <c r="I15" s="150">
        <f t="shared" si="4"/>
        <v>418125.3333</v>
      </c>
      <c r="J15" s="150">
        <f t="shared" si="4"/>
        <v>371458.6667</v>
      </c>
      <c r="K15" s="150">
        <f t="shared" si="4"/>
        <v>324792</v>
      </c>
      <c r="L15" s="150">
        <f t="shared" si="4"/>
        <v>278125.3333</v>
      </c>
      <c r="M15" s="150">
        <f t="shared" si="4"/>
        <v>231458.6667</v>
      </c>
      <c r="N15" s="150">
        <f t="shared" si="4"/>
        <v>184792</v>
      </c>
      <c r="O15" s="150">
        <f t="shared" si="4"/>
        <v>138125.3333</v>
      </c>
      <c r="P15" s="150">
        <f t="shared" si="4"/>
        <v>91458.66667</v>
      </c>
      <c r="Q15" s="150">
        <f t="shared" si="4"/>
        <v>44792</v>
      </c>
      <c r="R15" s="109"/>
      <c r="S15" s="109"/>
      <c r="T15" s="109"/>
      <c r="U15" s="109"/>
      <c r="V15" s="109"/>
      <c r="W15" s="109"/>
      <c r="X15" s="109"/>
      <c r="Y15" s="109"/>
      <c r="Z15" s="109"/>
    </row>
    <row r="16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09"/>
      <c r="S16" s="109"/>
      <c r="T16" s="109"/>
      <c r="U16" s="109"/>
      <c r="V16" s="109"/>
      <c r="W16" s="109"/>
      <c r="X16" s="109"/>
      <c r="Y16" s="109"/>
      <c r="Z16" s="109"/>
    </row>
    <row r="17">
      <c r="A17" s="145" t="s">
        <v>246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09"/>
      <c r="S17" s="109"/>
      <c r="T17" s="109"/>
      <c r="U17" s="109"/>
      <c r="V17" s="109"/>
      <c r="W17" s="109"/>
      <c r="X17" s="109"/>
      <c r="Y17" s="109"/>
      <c r="Z17" s="109"/>
    </row>
    <row r="18">
      <c r="A18" s="147" t="s">
        <v>247</v>
      </c>
      <c r="B18" s="161">
        <v>249000.0</v>
      </c>
      <c r="C18" s="81">
        <f>B18+'Cash Flow (+cohousing)'!B21+'Cash Flow (+cohousing)'!B22-('Debt Stack'!C27+'Debt Stack'!C34+'Debt Stack'!C41)</f>
        <v>529000</v>
      </c>
      <c r="D18" s="81">
        <f>C18+'Cash Flow (+cohousing)'!C21+'Cash Flow (+cohousing)'!C22-('Debt Stack'!D27+'Debt Stack'!D34+'Debt Stack'!D41)</f>
        <v>3292000</v>
      </c>
      <c r="E18" s="81">
        <f>D18+'Cash Flow (+cohousing)'!D21+'Cash Flow (+cohousing)'!D22-('Debt Stack'!E27+'Debt Stack'!E34+'Debt Stack'!E41)</f>
        <v>7646584</v>
      </c>
      <c r="F18" s="81">
        <f>E18+'Cash Flow (+cohousing)'!E21+'Cash Flow (+cohousing)'!E22-('Debt Stack'!F27+'Debt Stack'!F34+'Debt Stack'!F41)</f>
        <v>7821584</v>
      </c>
      <c r="G18" s="81">
        <f>F18+'Cash Flow (+cohousing)'!F21+'Cash Flow (+cohousing)'!F22-('Debt Stack'!G27+'Debt Stack'!G34+'Debt Stack'!G41)</f>
        <v>7921584</v>
      </c>
      <c r="H18" s="81">
        <f>G18+'Cash Flow (+cohousing)'!G21+'Cash Flow (+cohousing)'!G22-('Debt Stack'!H27+'Debt Stack'!H34+'Debt Stack'!H41)</f>
        <v>7921584</v>
      </c>
      <c r="I18" s="81">
        <f>H18+'Cash Flow (+cohousing)'!H21+'Cash Flow (+cohousing)'!H22-('Debt Stack'!I27+'Debt Stack'!I34+'Debt Stack'!I41)</f>
        <v>7921584</v>
      </c>
      <c r="J18" s="81">
        <f>I18+'Cash Flow (+cohousing)'!I21+'Cash Flow (+cohousing)'!I22-('Debt Stack'!J27+'Debt Stack'!J34+'Debt Stack'!J41)</f>
        <v>7921584</v>
      </c>
      <c r="K18" s="81">
        <f>J18+'Cash Flow (+cohousing)'!J21+'Cash Flow (+cohousing)'!J22-('Debt Stack'!K27+'Debt Stack'!K34+'Debt Stack'!K41)</f>
        <v>7921584</v>
      </c>
      <c r="L18" s="81">
        <f>K18+'Cash Flow (+cohousing)'!K21+'Cash Flow (+cohousing)'!K22-('Debt Stack'!L27+'Debt Stack'!L34+'Debt Stack'!L41)</f>
        <v>7921584</v>
      </c>
      <c r="M18" s="81">
        <f>L18+'Cash Flow (+cohousing)'!L21+'Cash Flow (+cohousing)'!L22-('Debt Stack'!M27+'Debt Stack'!M34+'Debt Stack'!M41)</f>
        <v>7921584</v>
      </c>
      <c r="N18" s="81">
        <f>M18+'Cash Flow (+cohousing)'!M21+'Cash Flow (+cohousing)'!M22-('Debt Stack'!N27+'Debt Stack'!N34+'Debt Stack'!N41)</f>
        <v>7921584</v>
      </c>
      <c r="O18" s="81">
        <f>N18+'Cash Flow (+cohousing)'!N21+'Cash Flow (+cohousing)'!N22-('Debt Stack'!O27+'Debt Stack'!O34+'Debt Stack'!O41)</f>
        <v>7921584</v>
      </c>
      <c r="P18" s="81">
        <f>O18+'Cash Flow (+cohousing)'!O21+'Cash Flow (+cohousing)'!O22-('Debt Stack'!P27+'Debt Stack'!P34+'Debt Stack'!P41)</f>
        <v>7921584</v>
      </c>
      <c r="Q18" s="81">
        <f>P18+'Cash Flow (+cohousing)'!P21+'Cash Flow (+cohousing)'!P22-('Debt Stack'!Q27+'Debt Stack'!Q34+'Debt Stack'!Q41)</f>
        <v>7921584</v>
      </c>
      <c r="R18" s="109"/>
      <c r="S18" s="109"/>
      <c r="T18" s="109"/>
      <c r="U18" s="109"/>
      <c r="V18" s="109"/>
      <c r="W18" s="109"/>
      <c r="X18" s="109"/>
      <c r="Y18" s="109"/>
      <c r="Z18" s="109"/>
    </row>
    <row r="19">
      <c r="A19" s="147" t="s">
        <v>248</v>
      </c>
      <c r="B19" s="161">
        <v>-165800.0</v>
      </c>
      <c r="C19" s="81">
        <f>B19+'Cash Flow (+cohousing)'!B8-('Debt Stack'!C26+'Debt Stack'!C33+'Debt Stack'!C40)</f>
        <v>-223717.77</v>
      </c>
      <c r="D19" s="81">
        <f>C19+'Cash Flow (+cohousing)'!C8-('Debt Stack'!D26+'Debt Stack'!D33+'Debt Stack'!D40)</f>
        <v>-274639.7839</v>
      </c>
      <c r="E19" s="81">
        <f>D19+'Cash Flow (+cohousing)'!D8-('Debt Stack'!E26+'Debt Stack'!E33+'Debt Stack'!E40)</f>
        <v>-51011.85859</v>
      </c>
      <c r="F19" s="81">
        <f>E19+'Cash Flow (+cohousing)'!E8-('Debt Stack'!F26+'Debt Stack'!F33+'Debt Stack'!F40)</f>
        <v>208209.4816</v>
      </c>
      <c r="G19" s="81">
        <f>F19+'Cash Flow (+cohousing)'!F8-('Debt Stack'!G26+'Debt Stack'!G33+'Debt Stack'!G40)</f>
        <v>500398.5753</v>
      </c>
      <c r="H19" s="81">
        <f>G19+'Cash Flow (+cohousing)'!G8-('Debt Stack'!H26+'Debt Stack'!H33+'Debt Stack'!H40)</f>
        <v>824780.3498</v>
      </c>
      <c r="I19" s="81">
        <f>H19+'Cash Flow (+cohousing)'!H8-('Debt Stack'!I26+'Debt Stack'!I33+'Debt Stack'!I40)</f>
        <v>1174141.646</v>
      </c>
      <c r="J19" s="81">
        <f>I19+'Cash Flow (+cohousing)'!I8-('Debt Stack'!J26+'Debt Stack'!J33+'Debt Stack'!J40)</f>
        <v>1549692.963</v>
      </c>
      <c r="K19" s="81">
        <f>J19+'Cash Flow (+cohousing)'!J8-('Debt Stack'!K26+'Debt Stack'!K33+'Debt Stack'!K40)</f>
        <v>1954925.791</v>
      </c>
      <c r="L19" s="81">
        <f>K19+'Cash Flow (+cohousing)'!K8-('Debt Stack'!L26+'Debt Stack'!L33+'Debt Stack'!L40)</f>
        <v>2393527.087</v>
      </c>
      <c r="M19" s="81">
        <f>L19+'Cash Flow (+cohousing)'!L8-('Debt Stack'!M26+'Debt Stack'!M33+'Debt Stack'!M40)</f>
        <v>2868344.898</v>
      </c>
      <c r="N19" s="81">
        <f>M19+'Cash Flow (+cohousing)'!M8-('Debt Stack'!N26+'Debt Stack'!N33+'Debt Stack'!N40)</f>
        <v>3382455.241</v>
      </c>
      <c r="O19" s="81">
        <f>N19+'Cash Flow (+cohousing)'!N8-('Debt Stack'!O26+'Debt Stack'!O33+'Debt Stack'!O40)</f>
        <v>3939180.335</v>
      </c>
      <c r="P19" s="81">
        <f>O19+'Cash Flow (+cohousing)'!O8-('Debt Stack'!P26+'Debt Stack'!P33+'Debt Stack'!P40)</f>
        <v>4542108.284</v>
      </c>
      <c r="Q19" s="81">
        <f>P19+'Cash Flow (+cohousing)'!P8-('Debt Stack'!Q26+'Debt Stack'!Q33+'Debt Stack'!Q40)</f>
        <v>5195114.335</v>
      </c>
      <c r="R19" s="109"/>
      <c r="S19" s="109"/>
      <c r="T19" s="109"/>
      <c r="U19" s="109"/>
      <c r="V19" s="109"/>
      <c r="W19" s="109"/>
      <c r="X19" s="109"/>
      <c r="Y19" s="109"/>
      <c r="Z19" s="109"/>
    </row>
    <row r="20">
      <c r="A20" s="149" t="s">
        <v>249</v>
      </c>
      <c r="B20" s="150">
        <f t="shared" ref="B20:Q20" si="5">SUM(B18:B19)</f>
        <v>83200</v>
      </c>
      <c r="C20" s="150">
        <f t="shared" si="5"/>
        <v>305282.23</v>
      </c>
      <c r="D20" s="150">
        <f t="shared" si="5"/>
        <v>3017360.216</v>
      </c>
      <c r="E20" s="150">
        <f t="shared" si="5"/>
        <v>7595572.141</v>
      </c>
      <c r="F20" s="150">
        <f t="shared" si="5"/>
        <v>8029793.482</v>
      </c>
      <c r="G20" s="150">
        <f t="shared" si="5"/>
        <v>8421982.575</v>
      </c>
      <c r="H20" s="150">
        <f t="shared" si="5"/>
        <v>8746364.35</v>
      </c>
      <c r="I20" s="150">
        <f t="shared" si="5"/>
        <v>9095725.646</v>
      </c>
      <c r="J20" s="150">
        <f t="shared" si="5"/>
        <v>9471276.963</v>
      </c>
      <c r="K20" s="150">
        <f t="shared" si="5"/>
        <v>9876509.791</v>
      </c>
      <c r="L20" s="150">
        <f t="shared" si="5"/>
        <v>10315111.09</v>
      </c>
      <c r="M20" s="150">
        <f t="shared" si="5"/>
        <v>10789928.9</v>
      </c>
      <c r="N20" s="150">
        <f t="shared" si="5"/>
        <v>11304039.24</v>
      </c>
      <c r="O20" s="150">
        <f t="shared" si="5"/>
        <v>11860764.34</v>
      </c>
      <c r="P20" s="150">
        <f t="shared" si="5"/>
        <v>12463692.28</v>
      </c>
      <c r="Q20" s="150">
        <f t="shared" si="5"/>
        <v>13116698.33</v>
      </c>
      <c r="R20" s="109"/>
      <c r="S20" s="109"/>
      <c r="T20" s="109"/>
      <c r="U20" s="109"/>
      <c r="V20" s="109"/>
      <c r="W20" s="109"/>
      <c r="X20" s="109"/>
      <c r="Y20" s="109"/>
      <c r="Z20" s="109"/>
    </row>
    <row r="2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09"/>
      <c r="S21" s="109"/>
      <c r="T21" s="109"/>
      <c r="U21" s="109"/>
      <c r="V21" s="109"/>
      <c r="W21" s="109"/>
      <c r="X21" s="109"/>
      <c r="Y21" s="109"/>
      <c r="Z21" s="109"/>
    </row>
    <row r="22">
      <c r="A22" s="149" t="s">
        <v>250</v>
      </c>
      <c r="B22" s="150">
        <v>491103.0</v>
      </c>
      <c r="C22" s="150">
        <f t="shared" ref="C22:Q22" si="6">C15+C20</f>
        <v>2194436.333</v>
      </c>
      <c r="D22" s="150">
        <f t="shared" si="6"/>
        <v>4560769.667</v>
      </c>
      <c r="E22" s="150">
        <f t="shared" si="6"/>
        <v>8593795.391</v>
      </c>
      <c r="F22" s="150">
        <f t="shared" si="6"/>
        <v>8826021.627</v>
      </c>
      <c r="G22" s="150">
        <f t="shared" si="6"/>
        <v>8933441.242</v>
      </c>
      <c r="H22" s="150">
        <f t="shared" si="6"/>
        <v>9211156.35</v>
      </c>
      <c r="I22" s="150">
        <f t="shared" si="6"/>
        <v>9513850.979</v>
      </c>
      <c r="J22" s="150">
        <f t="shared" si="6"/>
        <v>9842735.63</v>
      </c>
      <c r="K22" s="150">
        <f t="shared" si="6"/>
        <v>10201301.79</v>
      </c>
      <c r="L22" s="150">
        <f t="shared" si="6"/>
        <v>10593236.42</v>
      </c>
      <c r="M22" s="150">
        <f t="shared" si="6"/>
        <v>11021387.56</v>
      </c>
      <c r="N22" s="150">
        <f t="shared" si="6"/>
        <v>11488831.24</v>
      </c>
      <c r="O22" s="150">
        <f t="shared" si="6"/>
        <v>11998889.67</v>
      </c>
      <c r="P22" s="150">
        <f t="shared" si="6"/>
        <v>12555150.95</v>
      </c>
      <c r="Q22" s="150">
        <f t="shared" si="6"/>
        <v>13161490.33</v>
      </c>
      <c r="R22" s="109"/>
      <c r="S22" s="109"/>
      <c r="T22" s="109"/>
      <c r="U22" s="109"/>
      <c r="V22" s="109"/>
      <c r="W22" s="109"/>
      <c r="X22" s="109"/>
      <c r="Y22" s="109"/>
      <c r="Z22" s="109"/>
    </row>
    <row r="23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09"/>
      <c r="S23" s="109"/>
      <c r="T23" s="109"/>
      <c r="U23" s="109"/>
      <c r="V23" s="109"/>
      <c r="W23" s="109"/>
      <c r="X23" s="109"/>
      <c r="Y23" s="109"/>
      <c r="Z23" s="109"/>
    </row>
    <row r="24">
      <c r="A24" s="162" t="s">
        <v>251</v>
      </c>
      <c r="B24" s="163">
        <f t="shared" ref="B24:Q24" si="7">B8-B20-B15</f>
        <v>0</v>
      </c>
      <c r="C24" s="163">
        <f t="shared" si="7"/>
        <v>0.0000000002328306437</v>
      </c>
      <c r="D24" s="163">
        <f t="shared" si="7"/>
        <v>0.0000000004656612873</v>
      </c>
      <c r="E24" s="163">
        <f t="shared" si="7"/>
        <v>0.0000000008149072528</v>
      </c>
      <c r="F24" s="163">
        <f t="shared" si="7"/>
        <v>-0.0000000004656612873</v>
      </c>
      <c r="G24" s="163">
        <f t="shared" si="7"/>
        <v>0.000000001164153218</v>
      </c>
      <c r="H24" s="163">
        <f t="shared" si="7"/>
        <v>0</v>
      </c>
      <c r="I24" s="163">
        <f t="shared" si="7"/>
        <v>0.0000000005820766091</v>
      </c>
      <c r="J24" s="163">
        <f t="shared" si="7"/>
        <v>-0.00000000064028427</v>
      </c>
      <c r="K24" s="163">
        <f t="shared" si="7"/>
        <v>0</v>
      </c>
      <c r="L24" s="163">
        <f t="shared" si="7"/>
        <v>0.0000000005820766091</v>
      </c>
      <c r="M24" s="163">
        <f t="shared" si="7"/>
        <v>0.000000001222360879</v>
      </c>
      <c r="N24" s="163">
        <f t="shared" si="7"/>
        <v>0</v>
      </c>
      <c r="O24" s="163">
        <f t="shared" si="7"/>
        <v>-0.00000000128056854</v>
      </c>
      <c r="P24" s="163">
        <f t="shared" si="7"/>
        <v>0.000000001193257049</v>
      </c>
      <c r="Q24" s="163">
        <f t="shared" si="7"/>
        <v>0</v>
      </c>
      <c r="R24" s="109"/>
      <c r="S24" s="109"/>
      <c r="T24" s="109"/>
      <c r="U24" s="109"/>
      <c r="V24" s="109"/>
      <c r="W24" s="109"/>
      <c r="X24" s="109"/>
      <c r="Y24" s="109"/>
      <c r="Z24" s="109"/>
    </row>
    <row r="25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</sheetData>
  <mergeCells count="1">
    <mergeCell ref="A1:Q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2026-01-06T13:10:12Z</dcterms:created>
  <dc:creator>openpyxl</dc:creator>
</cp:coreProperties>
</file>